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_data" sheetId="1" r:id="rId5"/>
    <sheet state="visible" name="cleaned_data" sheetId="2" r:id="rId6"/>
    <sheet state="visible" name="dummy_variables" sheetId="3" r:id="rId7"/>
    <sheet state="visible" name="simple_regression_1" sheetId="4" r:id="rId8"/>
    <sheet state="visible" name="Simple_Regression_2" sheetId="5" r:id="rId9"/>
    <sheet state="visible" name="Multiple_Regression" sheetId="6" r:id="rId10"/>
    <sheet state="visible" name="Prediction_Residuals" sheetId="7" r:id="rId11"/>
    <sheet state="visible" name="data_dictionary" sheetId="8" r:id="rId12"/>
  </sheets>
  <definedNames/>
  <calcPr/>
</workbook>
</file>

<file path=xl/sharedStrings.xml><?xml version="1.0" encoding="utf-8"?>
<sst xmlns="http://schemas.openxmlformats.org/spreadsheetml/2006/main" count="3509" uniqueCount="212">
  <si>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</si>
  <si>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</si>
  <si>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</si>
  <si>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</si>
  <si>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</si>
  <si>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</si>
  <si>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</si>
  <si>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</si>
  <si>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</si>
  <si>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</si>
  <si>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</si>
  <si>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</si>
  <si>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</si>
  <si>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</si>
  <si>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</si>
  <si>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</si>
  <si>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</si>
  <si>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</si>
  <si>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</si>
  <si>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</si>
  <si>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</si>
  <si>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</si>
  <si>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</si>
  <si>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</si>
  <si>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</si>
  <si>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</si>
  <si>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</si>
  <si>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</si>
  <si>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</si>
  <si>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</si>
  <si>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</si>
  <si>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</si>
  <si>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</si>
  <si>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</si>
  <si>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</si>
  <si>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</si>
  <si>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</si>
  <si>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</si>
  <si>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</si>
  <si>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</si>
  <si>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</si>
  <si>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</si>
  <si>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</si>
  <si>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</si>
  <si>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</si>
  <si>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</si>
  <si>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</si>
  <si>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</si>
  <si>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</si>
  <si>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</si>
  <si>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</si>
  <si>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</si>
  <si>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</si>
  <si>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</si>
  <si>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</si>
  <si>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</si>
  <si>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</si>
  <si>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</si>
  <si>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</si>
  <si>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</si>
  <si>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</si>
  <si>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</si>
  <si>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</si>
  <si>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</si>
  <si>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</si>
  <si>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</si>
  <si>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</si>
  <si>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</si>
  <si>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</si>
  <si>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</si>
  <si>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</si>
  <si>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</si>
  <si>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</si>
  <si>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</si>
  <si>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</si>
  <si>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</si>
  <si>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</si>
  <si>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</si>
  <si>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</si>
  <si>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</si>
  <si>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</si>
  <si>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</si>
  <si>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</si>
  <si>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</si>
  <si>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</si>
  <si>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</si>
  <si>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</si>
  <si>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</si>
  <si>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</si>
  <si>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</si>
  <si>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</si>
  <si>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</si>
  <si>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</si>
  <si>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</si>
  <si>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</si>
  <si>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</si>
  <si>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</si>
  <si>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</si>
  <si>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</si>
  <si>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</si>
  <si>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</si>
  <si>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</si>
  <si>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 xml:space="preserve">e </t>
  </si>
  <si>
    <t>f</t>
  </si>
  <si>
    <t>m</t>
  </si>
  <si>
    <t>Missing values:</t>
  </si>
  <si>
    <t>nothing invalid</t>
  </si>
  <si>
    <t>Region_East</t>
  </si>
  <si>
    <t>Region_North</t>
  </si>
  <si>
    <t>Region_South</t>
  </si>
  <si>
    <t>StoreType_Airport</t>
  </si>
  <si>
    <t>StoreType_HighStreet</t>
  </si>
  <si>
    <t>StoreType_Mall</t>
  </si>
  <si>
    <t>Predicted_Sales</t>
  </si>
  <si>
    <t>Residual</t>
  </si>
  <si>
    <t>Model Summary - monthly_sales</t>
  </si>
  <si>
    <t>Model</t>
  </si>
  <si>
    <t>R</t>
  </si>
  <si>
    <t>R²</t>
  </si>
  <si>
    <t>Adjusted R²</t>
  </si>
  <si>
    <t>RMSE</t>
  </si>
  <si>
    <t>R² Change</t>
  </si>
  <si>
    <t>df1</t>
  </si>
  <si>
    <t>df2</t>
  </si>
  <si>
    <t>p</t>
  </si>
  <si>
    <t>M₀</t>
  </si>
  <si>
    <t>1.104×10+5</t>
  </si>
  <si>
    <t>M₁</t>
  </si>
  <si>
    <t>9.963×10+4</t>
  </si>
  <si>
    <t>&lt; .001</t>
  </si>
  <si>
    <t>ANOVA</t>
  </si>
  <si>
    <t>Sum of Squares</t>
  </si>
  <si>
    <t>df</t>
  </si>
  <si>
    <t>Mean Square</t>
  </si>
  <si>
    <t>F</t>
  </si>
  <si>
    <t>Regression</t>
  </si>
  <si>
    <t>7.305×10+11</t>
  </si>
  <si>
    <t>3.167×10+12</t>
  </si>
  <si>
    <t>9.926×10+9</t>
  </si>
  <si>
    <t>Total</t>
  </si>
  <si>
    <t>3.897×10+12</t>
  </si>
  <si>
    <t>Coefficients</t>
  </si>
  <si>
    <t>95% CI</t>
  </si>
  <si>
    <t>Unstandardized</t>
  </si>
  <si>
    <t>Standard Error</t>
  </si>
  <si>
    <t>Standardized</t>
  </si>
  <si>
    <t>t</t>
  </si>
  <si>
    <t>Lower</t>
  </si>
  <si>
    <t>Upper</t>
  </si>
  <si>
    <t>(Intercept)</t>
  </si>
  <si>
    <t>6.785×10+5</t>
  </si>
  <si>
    <t>6.664×10+5</t>
  </si>
  <si>
    <t>6.906×10+5</t>
  </si>
  <si>
    <t>5.454×10+5</t>
  </si>
  <si>
    <t>1.648×10+4</t>
  </si>
  <si>
    <t>5.130×10+5</t>
  </si>
  <si>
    <t>5.779×10+5</t>
  </si>
  <si>
    <t>Descriptives</t>
  </si>
  <si>
    <t>N</t>
  </si>
  <si>
    <t>Mean</t>
  </si>
  <si>
    <t>SD</t>
  </si>
  <si>
    <t>SE</t>
  </si>
  <si>
    <t>5.610×10+4</t>
  </si>
  <si>
    <t>2.014×10+4</t>
  </si>
  <si>
    <t>5.873×10+4</t>
  </si>
  <si>
    <t>2.797×10+12</t>
  </si>
  <si>
    <t>1.100×10+12</t>
  </si>
  <si>
    <t>3.450×10+9</t>
  </si>
  <si>
    <t>4.356×10+5</t>
  </si>
  <si>
    <t>4.176×10+5</t>
  </si>
  <si>
    <t>4.536×10+5</t>
  </si>
  <si>
    <t>Column 6</t>
  </si>
  <si>
    <t>1.038×10+5</t>
  </si>
  <si>
    <t>4.550×10+4</t>
  </si>
  <si>
    <t>2.787×10+12</t>
  </si>
  <si>
    <t>4.645×10+11</t>
  </si>
  <si>
    <t>6.479×10+11</t>
  </si>
  <si>
    <t>2.070×10+9</t>
  </si>
  <si>
    <t>3.435×10+12</t>
  </si>
  <si>
    <t>6.806×10+5</t>
  </si>
  <si>
    <t>6.692×10+5</t>
  </si>
  <si>
    <t>6.920×10+5</t>
  </si>
  <si>
    <t>1.490×10+5</t>
  </si>
  <si>
    <t>4.390×10+4</t>
  </si>
  <si>
    <t>6.258×10+4</t>
  </si>
  <si>
    <t>2.353×10+5</t>
  </si>
  <si>
    <t>-1.749×10+4</t>
  </si>
  <si>
    <t>-3.039×10+4</t>
  </si>
  <si>
    <t>-2.153×10+4</t>
  </si>
  <si>
    <t>-1.042×10+4</t>
  </si>
  <si>
    <t>1.932×10+4</t>
  </si>
  <si>
    <t>Collinearity Diagnostics</t>
  </si>
  <si>
    <t>Variance Proportions</t>
  </si>
  <si>
    <t>Dimension</t>
  </si>
  <si>
    <t>Eigenvalue</t>
  </si>
  <si>
    <t>Condition Index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</si>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</sst>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8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i/>
      <sz val="9.0"/>
      <color rgb="FF000000"/>
      <name val="Carlito"/>
      <scheme val="minor"/>
    </font>
    <font/>
    <font>
      <sz val="9.0"/>
      <color rgb="FF000000"/>
      <name val="Carlito"/>
      <scheme val="minor"/>
    </font>
    <font>
      <b/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365F91"/>
        <bgColor rgb="FF365F91"/>
      </patternFill>
    </fill>
    <fill>
      <patternFill patternType="solid">
        <fgColor rgb="FFEBEBEB"/>
        <bgColor rgb="FFEBEBEB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0"/>
    </xf>
    <xf borderId="0" fillId="0" fontId="2" numFmtId="16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1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1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right"/>
    </xf>
    <xf borderId="1" fillId="3" fontId="6" numFmtId="0" xfId="0" applyAlignment="1" applyBorder="1" applyFill="1" applyFont="1">
      <alignment horizontal="left" readingOrder="0"/>
    </xf>
    <xf borderId="1" fillId="3" fontId="6" numFmtId="0" xfId="0" applyAlignment="1" applyBorder="1" applyFont="1">
      <alignment horizontal="right" readingOrder="0"/>
    </xf>
    <xf borderId="1" fillId="0" fontId="6" numFmtId="0" xfId="0" applyAlignment="1" applyBorder="1" applyFont="1">
      <alignment horizontal="center"/>
    </xf>
    <xf borderId="0" fillId="3" fontId="6" numFmtId="0" xfId="0" applyAlignment="1" applyFont="1">
      <alignment horizontal="left"/>
    </xf>
    <xf borderId="0" fillId="3" fontId="6" numFmtId="0" xfId="0" applyAlignment="1" applyFont="1">
      <alignment horizontal="left" readingOrder="0"/>
    </xf>
    <xf borderId="0" fillId="3" fontId="6" numFmtId="0" xfId="0" applyAlignment="1" applyFont="1">
      <alignment horizontal="right" readingOrder="0"/>
    </xf>
    <xf borderId="0" fillId="3" fontId="6" numFmtId="0" xfId="0" applyAlignment="1" applyFont="1">
      <alignment horizontal="right"/>
    </xf>
    <xf borderId="1" fillId="0" fontId="6" numFmtId="0" xfId="0" applyAlignment="1" applyBorder="1" applyFont="1">
      <alignment horizontal="left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right" readingOrder="0"/>
    </xf>
    <xf borderId="1" fillId="0" fontId="6" numFmtId="0" xfId="0" applyAlignment="1" applyBorder="1" applyFont="1">
      <alignment horizontal="right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1" fillId="3" fontId="6" numFmtId="0" xfId="0" applyAlignment="1" applyBorder="1" applyFont="1">
      <alignment horizontal="left"/>
    </xf>
    <xf borderId="0" fillId="2" fontId="7" numFmtId="0" xfId="0" applyAlignment="1" applyFont="1">
      <alignment horizontal="center" vertical="bottom"/>
    </xf>
    <xf borderId="0" fillId="2" fontId="7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monthly_sales vs marketing_spend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original_data!$M$1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original_data!$E$2:$E$1000</c:f>
            </c:numRef>
          </c:xVal>
          <c:yVal>
            <c:numRef>
              <c:f>original_data!$M$2:$M$1000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968847"/>
        <c:axId val="1760171456"/>
      </c:scatterChart>
      <c:valAx>
        <c:axId val="3129688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marketing_spend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171456"/>
      </c:valAx>
      <c:valAx>
        <c:axId val="1760171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9688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monthly_sales vs footfall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original_data!$M$1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original_data!$F$2:$F$1000</c:f>
            </c:numRef>
          </c:xVal>
          <c:yVal>
            <c:numRef>
              <c:f>original_data!$M$2:$M$1000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769796"/>
        <c:axId val="119578127"/>
      </c:scatterChart>
      <c:valAx>
        <c:axId val="5337697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footfall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78127"/>
      </c:valAx>
      <c:valAx>
        <c:axId val="119578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769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542925</xdr:colOff>
      <xdr:row>3</xdr:row>
      <xdr:rowOff>180975</xdr:rowOff>
    </xdr:from>
    <xdr:ext cx="5495925" cy="3390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676275</xdr:colOff>
      <xdr:row>4</xdr:row>
      <xdr:rowOff>57150</xdr:rowOff>
    </xdr:from>
    <xdr:ext cx="549592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16.0"/>
    <col customWidth="1" min="15" max="16" width="8.63"/>
    <col customWidth="1" min="17" max="17" width="17.38"/>
    <col customWidth="1" min="18" max="18" width="18.38"/>
    <col customWidth="1" min="19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45658.0</v>
      </c>
      <c r="C2" s="2" t="s">
        <v>15</v>
      </c>
      <c r="D2" s="2" t="s">
        <v>16</v>
      </c>
      <c r="E2" s="2">
        <v>70389.11</v>
      </c>
      <c r="F2" s="2">
        <v>8302.0</v>
      </c>
      <c r="G2" s="2">
        <v>0.042</v>
      </c>
      <c r="H2" s="2">
        <v>17.0</v>
      </c>
      <c r="I2" s="2">
        <v>75.0</v>
      </c>
      <c r="J2" s="2">
        <v>5.28</v>
      </c>
      <c r="K2" s="2">
        <v>1.0</v>
      </c>
      <c r="L2" s="2">
        <v>3.1</v>
      </c>
      <c r="M2" s="2">
        <v>658832.62</v>
      </c>
      <c r="N2" s="2">
        <v>84349.93</v>
      </c>
    </row>
    <row r="3">
      <c r="A3" s="2" t="s">
        <v>14</v>
      </c>
      <c r="B3" s="3">
        <v>45689.0</v>
      </c>
      <c r="C3" s="2" t="s">
        <v>15</v>
      </c>
      <c r="D3" s="2" t="s">
        <v>16</v>
      </c>
      <c r="E3" s="2">
        <v>43827.89</v>
      </c>
      <c r="F3" s="2">
        <v>8487.0</v>
      </c>
      <c r="G3" s="2">
        <v>0.168</v>
      </c>
      <c r="H3" s="2">
        <v>23.0</v>
      </c>
      <c r="I3" s="2">
        <v>84.4</v>
      </c>
      <c r="J3" s="2">
        <v>4.31</v>
      </c>
      <c r="K3" s="2">
        <v>0.0</v>
      </c>
      <c r="L3" s="2">
        <v>2.8</v>
      </c>
      <c r="M3" s="2">
        <v>634436.0</v>
      </c>
      <c r="N3" s="2">
        <v>106130.54</v>
      </c>
    </row>
    <row r="4">
      <c r="A4" s="2" t="s">
        <v>14</v>
      </c>
      <c r="B4" s="3">
        <v>45717.0</v>
      </c>
      <c r="C4" s="2" t="s">
        <v>15</v>
      </c>
      <c r="D4" s="2" t="s">
        <v>16</v>
      </c>
      <c r="E4" s="2">
        <v>59921.75</v>
      </c>
      <c r="F4" s="2">
        <v>9113.0</v>
      </c>
      <c r="G4" s="2">
        <v>0.133</v>
      </c>
      <c r="H4" s="2">
        <v>20.0</v>
      </c>
      <c r="I4" s="2">
        <v>88.0</v>
      </c>
      <c r="J4" s="2">
        <v>12.0</v>
      </c>
      <c r="K4" s="2">
        <v>0.0</v>
      </c>
      <c r="L4" s="2">
        <v>3.2</v>
      </c>
      <c r="M4" s="2">
        <v>678722.06</v>
      </c>
      <c r="N4" s="2">
        <v>101883.86</v>
      </c>
    </row>
    <row r="5">
      <c r="A5" s="2" t="s">
        <v>14</v>
      </c>
      <c r="B5" s="3">
        <v>45748.0</v>
      </c>
      <c r="C5" s="2" t="s">
        <v>15</v>
      </c>
      <c r="D5" s="2" t="s">
        <v>16</v>
      </c>
      <c r="E5" s="2">
        <v>56856.63</v>
      </c>
      <c r="F5" s="2">
        <v>9431.0</v>
      </c>
      <c r="G5" s="2">
        <v>0.142</v>
      </c>
      <c r="H5" s="2">
        <v>23.0</v>
      </c>
      <c r="I5" s="2">
        <v>86.9</v>
      </c>
      <c r="J5" s="2">
        <v>4.97</v>
      </c>
      <c r="K5" s="2">
        <v>0.0</v>
      </c>
      <c r="L5" s="2">
        <v>3.4</v>
      </c>
      <c r="M5" s="2">
        <v>658920.3</v>
      </c>
      <c r="N5" s="2">
        <v>97910.37</v>
      </c>
    </row>
    <row r="6">
      <c r="A6" s="2" t="s">
        <v>17</v>
      </c>
      <c r="B6" s="3">
        <v>45658.0</v>
      </c>
      <c r="C6" s="2" t="s">
        <v>15</v>
      </c>
      <c r="D6" s="2" t="s">
        <v>18</v>
      </c>
      <c r="E6" s="2">
        <v>48412.64</v>
      </c>
      <c r="F6" s="2">
        <v>9545.0</v>
      </c>
      <c r="G6" s="2">
        <v>0.231</v>
      </c>
      <c r="H6" s="2">
        <v>21.0</v>
      </c>
      <c r="I6" s="2">
        <v>97.6</v>
      </c>
      <c r="J6" s="2">
        <v>6.94</v>
      </c>
      <c r="K6" s="2">
        <v>1.0</v>
      </c>
      <c r="L6" s="2">
        <v>4.2</v>
      </c>
      <c r="M6" s="2">
        <v>741341.44</v>
      </c>
      <c r="N6" s="2">
        <v>119208.17</v>
      </c>
    </row>
    <row r="7">
      <c r="A7" s="2" t="s">
        <v>17</v>
      </c>
      <c r="B7" s="3">
        <v>45689.0</v>
      </c>
      <c r="C7" s="2" t="s">
        <v>15</v>
      </c>
      <c r="D7" s="2" t="s">
        <v>18</v>
      </c>
      <c r="E7" s="2">
        <v>64811.21</v>
      </c>
      <c r="F7" s="2">
        <v>9792.0</v>
      </c>
      <c r="G7" s="2">
        <v>0.112</v>
      </c>
      <c r="H7" s="2">
        <v>20.0</v>
      </c>
      <c r="I7" s="2">
        <v>84.2</v>
      </c>
      <c r="J7" s="2">
        <v>2.88</v>
      </c>
      <c r="K7" s="2">
        <v>0.0</v>
      </c>
      <c r="L7" s="2">
        <v>4.2</v>
      </c>
      <c r="M7" s="2">
        <v>761835.34</v>
      </c>
      <c r="N7" s="2">
        <v>149602.23</v>
      </c>
    </row>
    <row r="8">
      <c r="A8" s="2" t="s">
        <v>17</v>
      </c>
      <c r="B8" s="3">
        <v>45717.0</v>
      </c>
      <c r="C8" s="2" t="s">
        <v>15</v>
      </c>
      <c r="D8" s="2" t="s">
        <v>18</v>
      </c>
      <c r="E8" s="2">
        <v>46213.45</v>
      </c>
      <c r="F8" s="2">
        <v>10616.0</v>
      </c>
      <c r="G8" s="2">
        <v>0.122</v>
      </c>
      <c r="H8" s="2">
        <v>22.0</v>
      </c>
      <c r="I8" s="2">
        <v>85.2</v>
      </c>
      <c r="J8" s="2">
        <v>0.2</v>
      </c>
      <c r="K8" s="2">
        <v>1.0</v>
      </c>
      <c r="L8" s="2">
        <v>4.1</v>
      </c>
      <c r="M8" s="2">
        <v>806615.54</v>
      </c>
      <c r="N8" s="2">
        <v>131364.62</v>
      </c>
    </row>
    <row r="9">
      <c r="A9" s="2" t="s">
        <v>17</v>
      </c>
      <c r="B9" s="3">
        <v>45748.0</v>
      </c>
      <c r="C9" s="2" t="s">
        <v>15</v>
      </c>
      <c r="D9" s="2" t="s">
        <v>18</v>
      </c>
      <c r="E9" s="2">
        <v>68148.52</v>
      </c>
      <c r="F9" s="2">
        <v>8567.0</v>
      </c>
      <c r="G9" s="2">
        <v>0.127</v>
      </c>
      <c r="H9" s="2">
        <v>23.0</v>
      </c>
      <c r="I9" s="2">
        <v>95.6</v>
      </c>
      <c r="J9" s="2">
        <v>0.8</v>
      </c>
      <c r="K9" s="2">
        <v>0.0</v>
      </c>
      <c r="L9" s="2">
        <v>3.9</v>
      </c>
      <c r="M9" s="2">
        <v>850164.26</v>
      </c>
      <c r="N9" s="2">
        <v>149262.75</v>
      </c>
    </row>
    <row r="10">
      <c r="A10" s="2" t="s">
        <v>19</v>
      </c>
      <c r="B10" s="3">
        <v>45658.0</v>
      </c>
      <c r="C10" s="2" t="s">
        <v>20</v>
      </c>
      <c r="D10" s="2" t="s">
        <v>21</v>
      </c>
      <c r="E10" s="2">
        <v>71838.86</v>
      </c>
      <c r="F10" s="2">
        <v>10979.0</v>
      </c>
      <c r="G10" s="2">
        <v>0.215</v>
      </c>
      <c r="H10" s="2">
        <v>26.0</v>
      </c>
      <c r="I10" s="2">
        <v>88.6</v>
      </c>
      <c r="J10" s="2">
        <v>7.7</v>
      </c>
      <c r="K10" s="2">
        <v>1.0</v>
      </c>
      <c r="L10" s="2">
        <v>3.8</v>
      </c>
      <c r="M10" s="2">
        <v>930581.7</v>
      </c>
      <c r="N10" s="2">
        <v>136207.98</v>
      </c>
    </row>
    <row r="11">
      <c r="A11" s="2" t="s">
        <v>19</v>
      </c>
      <c r="B11" s="3">
        <v>45689.0</v>
      </c>
      <c r="C11" s="2" t="s">
        <v>20</v>
      </c>
      <c r="D11" s="2" t="s">
        <v>21</v>
      </c>
      <c r="E11" s="2">
        <v>68133.44</v>
      </c>
      <c r="F11" s="2">
        <v>9459.0</v>
      </c>
      <c r="G11" s="2">
        <v>0.22</v>
      </c>
      <c r="H11" s="2">
        <v>21.0</v>
      </c>
      <c r="I11" s="2">
        <v>85.0</v>
      </c>
      <c r="J11" s="2">
        <v>1.91</v>
      </c>
      <c r="K11" s="2">
        <v>0.0</v>
      </c>
      <c r="L11" s="2">
        <v>4.2</v>
      </c>
      <c r="M11" s="2">
        <v>779010.94</v>
      </c>
      <c r="N11" s="2">
        <v>106328.09</v>
      </c>
    </row>
    <row r="12">
      <c r="A12" s="2" t="s">
        <v>19</v>
      </c>
      <c r="B12" s="3">
        <v>45717.0</v>
      </c>
      <c r="C12" s="2" t="s">
        <v>20</v>
      </c>
      <c r="D12" s="2" t="s">
        <v>21</v>
      </c>
      <c r="E12" s="2">
        <v>34285.21</v>
      </c>
      <c r="F12" s="2">
        <v>9172.0</v>
      </c>
      <c r="G12" s="2">
        <v>0.213</v>
      </c>
      <c r="H12" s="2">
        <v>22.0</v>
      </c>
      <c r="I12" s="2">
        <v>88.3</v>
      </c>
      <c r="J12" s="2">
        <v>10.46</v>
      </c>
      <c r="K12" s="2">
        <v>1.0</v>
      </c>
      <c r="L12" s="2">
        <v>3.8</v>
      </c>
      <c r="M12" s="2">
        <v>723060.76</v>
      </c>
      <c r="N12" s="2">
        <v>123131.24</v>
      </c>
    </row>
    <row r="13">
      <c r="A13" s="2" t="s">
        <v>19</v>
      </c>
      <c r="B13" s="3">
        <v>45748.0</v>
      </c>
      <c r="C13" s="2" t="s">
        <v>20</v>
      </c>
      <c r="D13" s="2" t="s">
        <v>21</v>
      </c>
      <c r="E13" s="2">
        <v>67979.88</v>
      </c>
      <c r="F13" s="2">
        <v>11230.0</v>
      </c>
      <c r="G13" s="2">
        <v>0.002</v>
      </c>
      <c r="H13" s="2">
        <v>28.0</v>
      </c>
      <c r="I13" s="2">
        <v>85.3</v>
      </c>
      <c r="J13" s="2">
        <v>7.16</v>
      </c>
      <c r="K13" s="2">
        <v>0.0</v>
      </c>
      <c r="L13" s="2">
        <v>3.8</v>
      </c>
      <c r="M13" s="2">
        <v>910791.94</v>
      </c>
      <c r="N13" s="2">
        <v>158891.28</v>
      </c>
    </row>
    <row r="14">
      <c r="A14" s="2" t="s">
        <v>22</v>
      </c>
      <c r="B14" s="3">
        <v>45658.0</v>
      </c>
      <c r="C14" s="2" t="s">
        <v>15</v>
      </c>
      <c r="D14" s="2" t="s">
        <v>16</v>
      </c>
      <c r="E14" s="2">
        <v>71828.26</v>
      </c>
      <c r="F14" s="2">
        <v>12775.0</v>
      </c>
      <c r="G14" s="2">
        <v>0.116</v>
      </c>
      <c r="H14" s="2">
        <v>30.0</v>
      </c>
      <c r="I14" s="2">
        <v>81.7</v>
      </c>
      <c r="J14" s="2">
        <v>4.24</v>
      </c>
      <c r="K14" s="2">
        <v>1.0</v>
      </c>
      <c r="L14" s="2">
        <v>4.2</v>
      </c>
      <c r="M14" s="2">
        <v>922168.6</v>
      </c>
      <c r="N14" s="2">
        <v>107494.53</v>
      </c>
    </row>
    <row r="15">
      <c r="A15" s="2" t="s">
        <v>22</v>
      </c>
      <c r="B15" s="3">
        <v>45689.0</v>
      </c>
      <c r="C15" s="2" t="s">
        <v>15</v>
      </c>
      <c r="D15" s="2" t="s">
        <v>16</v>
      </c>
      <c r="E15" s="2">
        <v>55716.82</v>
      </c>
      <c r="F15" s="2">
        <v>10054.0</v>
      </c>
      <c r="G15" s="2">
        <v>0.146</v>
      </c>
      <c r="H15" s="2">
        <v>24.0</v>
      </c>
      <c r="I15" s="2">
        <v>84.9</v>
      </c>
      <c r="J15" s="2">
        <v>1.06</v>
      </c>
      <c r="K15" s="2">
        <v>0.0</v>
      </c>
      <c r="L15" s="2">
        <v>4.3</v>
      </c>
      <c r="M15" s="2">
        <v>726606.28</v>
      </c>
      <c r="N15" s="2">
        <v>122729.29</v>
      </c>
    </row>
    <row r="16">
      <c r="A16" s="2" t="s">
        <v>22</v>
      </c>
      <c r="B16" s="3">
        <v>45717.0</v>
      </c>
      <c r="C16" s="2" t="s">
        <v>15</v>
      </c>
      <c r="D16" s="2" t="s">
        <v>16</v>
      </c>
      <c r="E16" s="2">
        <v>59909.51</v>
      </c>
      <c r="F16" s="2">
        <v>8895.0</v>
      </c>
      <c r="G16" s="2">
        <v>0.228</v>
      </c>
      <c r="H16" s="2">
        <v>23.0</v>
      </c>
      <c r="I16" s="2">
        <v>88.8</v>
      </c>
      <c r="J16" s="2">
        <v>0.27</v>
      </c>
      <c r="K16" s="2">
        <v>0.0</v>
      </c>
      <c r="L16" s="2">
        <v>4.3</v>
      </c>
      <c r="M16" s="2">
        <v>746501.09</v>
      </c>
      <c r="N16" s="2">
        <v>136816.72</v>
      </c>
    </row>
    <row r="17">
      <c r="A17" s="2" t="s">
        <v>22</v>
      </c>
      <c r="B17" s="3">
        <v>45748.0</v>
      </c>
      <c r="C17" s="2" t="s">
        <v>15</v>
      </c>
      <c r="D17" s="2" t="s">
        <v>16</v>
      </c>
      <c r="E17" s="2">
        <v>75305.71</v>
      </c>
      <c r="F17" s="2">
        <v>10940.0</v>
      </c>
      <c r="G17" s="2">
        <v>0.006</v>
      </c>
      <c r="H17" s="2">
        <v>26.0</v>
      </c>
      <c r="I17" s="2">
        <v>76.5</v>
      </c>
      <c r="J17" s="2">
        <v>1.32</v>
      </c>
      <c r="K17" s="2">
        <v>0.0</v>
      </c>
      <c r="L17" s="2">
        <v>4.5</v>
      </c>
      <c r="M17" s="2">
        <v>834017.02</v>
      </c>
      <c r="N17" s="2">
        <v>114745.03</v>
      </c>
    </row>
    <row r="18">
      <c r="A18" s="2" t="s">
        <v>23</v>
      </c>
      <c r="B18" s="3">
        <v>45658.0</v>
      </c>
      <c r="C18" s="2" t="s">
        <v>24</v>
      </c>
      <c r="D18" s="2" t="s">
        <v>16</v>
      </c>
      <c r="E18" s="2">
        <v>48804.22</v>
      </c>
      <c r="F18" s="2">
        <v>7057.0</v>
      </c>
      <c r="G18" s="2">
        <v>0.005</v>
      </c>
      <c r="H18" s="2">
        <v>15.0</v>
      </c>
      <c r="I18" s="2">
        <v>87.7</v>
      </c>
      <c r="J18" s="2">
        <v>1.22</v>
      </c>
      <c r="K18" s="2">
        <v>0.0</v>
      </c>
      <c r="L18" s="2">
        <v>3.7</v>
      </c>
      <c r="M18" s="2">
        <v>666152.52</v>
      </c>
      <c r="N18" s="2">
        <v>107490.58</v>
      </c>
    </row>
    <row r="19">
      <c r="A19" s="2" t="s">
        <v>23</v>
      </c>
      <c r="B19" s="3">
        <v>45689.0</v>
      </c>
      <c r="C19" s="2" t="s">
        <v>24</v>
      </c>
      <c r="D19" s="2" t="s">
        <v>16</v>
      </c>
      <c r="E19" s="2">
        <v>59117.9</v>
      </c>
      <c r="F19" s="2">
        <v>4263.0</v>
      </c>
      <c r="G19" s="2">
        <v>0.119</v>
      </c>
      <c r="H19" s="2">
        <v>9.0</v>
      </c>
      <c r="I19" s="2">
        <v>87.6</v>
      </c>
      <c r="J19" s="2">
        <v>4.01</v>
      </c>
      <c r="K19" s="2">
        <v>0.0</v>
      </c>
      <c r="L19" s="2">
        <v>3.6</v>
      </c>
      <c r="M19" s="2">
        <v>573155.19</v>
      </c>
      <c r="N19" s="2">
        <v>83680.75</v>
      </c>
    </row>
    <row r="20">
      <c r="A20" s="2" t="s">
        <v>23</v>
      </c>
      <c r="B20" s="3">
        <v>45717.0</v>
      </c>
      <c r="C20" s="2" t="s">
        <v>24</v>
      </c>
      <c r="D20" s="2" t="s">
        <v>16</v>
      </c>
      <c r="E20" s="2">
        <v>78831.12</v>
      </c>
      <c r="F20" s="2">
        <v>5538.0</v>
      </c>
      <c r="G20" s="2">
        <v>0.0</v>
      </c>
      <c r="H20" s="2">
        <v>15.0</v>
      </c>
      <c r="I20" s="2">
        <v>94.1</v>
      </c>
      <c r="J20" s="2">
        <v>0.2</v>
      </c>
      <c r="K20" s="2">
        <v>0.0</v>
      </c>
      <c r="L20" s="2">
        <v>3.9</v>
      </c>
      <c r="M20" s="2">
        <v>666573.2</v>
      </c>
      <c r="N20" s="2">
        <v>140641.02</v>
      </c>
    </row>
    <row r="21" ht="15.75" customHeight="1">
      <c r="A21" s="2" t="s">
        <v>23</v>
      </c>
      <c r="B21" s="3">
        <v>45748.0</v>
      </c>
      <c r="C21" s="2" t="s">
        <v>24</v>
      </c>
      <c r="D21" s="2" t="s">
        <v>16</v>
      </c>
      <c r="E21" s="2">
        <v>41441.93</v>
      </c>
      <c r="F21" s="2">
        <v>4865.0</v>
      </c>
      <c r="G21" s="2">
        <v>0.158</v>
      </c>
      <c r="H21" s="2">
        <v>16.0</v>
      </c>
      <c r="I21" s="2">
        <v>88.3</v>
      </c>
      <c r="J21" s="2">
        <v>0.5</v>
      </c>
      <c r="K21" s="2">
        <v>0.0</v>
      </c>
      <c r="L21" s="2">
        <v>4.0</v>
      </c>
      <c r="M21" s="2">
        <v>591619.95</v>
      </c>
      <c r="N21" s="2">
        <v>99521.35</v>
      </c>
    </row>
    <row r="22" ht="15.75" customHeight="1">
      <c r="A22" s="2" t="s">
        <v>25</v>
      </c>
      <c r="B22" s="3">
        <v>45658.0</v>
      </c>
      <c r="C22" s="2" t="s">
        <v>20</v>
      </c>
      <c r="D22" s="2" t="s">
        <v>16</v>
      </c>
      <c r="E22" s="2">
        <v>30356.28</v>
      </c>
      <c r="F22" s="2">
        <v>2822.0</v>
      </c>
      <c r="G22" s="2">
        <v>0.231</v>
      </c>
      <c r="H22" s="2">
        <v>9.0</v>
      </c>
      <c r="I22" s="2">
        <v>84.8</v>
      </c>
      <c r="J22" s="2">
        <v>6.95</v>
      </c>
      <c r="K22" s="2">
        <v>0.0</v>
      </c>
      <c r="L22" s="2">
        <v>5.0</v>
      </c>
      <c r="M22" s="2">
        <v>415721.82</v>
      </c>
      <c r="N22" s="2">
        <v>61179.15</v>
      </c>
    </row>
    <row r="23" ht="15.75" customHeight="1">
      <c r="A23" s="2" t="s">
        <v>25</v>
      </c>
      <c r="B23" s="3">
        <v>45689.0</v>
      </c>
      <c r="C23" s="2" t="s">
        <v>20</v>
      </c>
      <c r="D23" s="2" t="s">
        <v>16</v>
      </c>
      <c r="E23" s="2">
        <v>33518.88</v>
      </c>
      <c r="F23" s="2">
        <v>2121.0</v>
      </c>
      <c r="G23" s="2">
        <v>0.176</v>
      </c>
      <c r="H23" s="2">
        <v>8.0</v>
      </c>
      <c r="I23" s="2">
        <v>88.5</v>
      </c>
      <c r="J23" s="2">
        <v>0.2</v>
      </c>
      <c r="K23" s="2">
        <v>0.0</v>
      </c>
      <c r="L23" s="2">
        <v>5.0</v>
      </c>
      <c r="M23" s="2">
        <v>491905.13</v>
      </c>
      <c r="N23" s="2">
        <v>79212.26</v>
      </c>
    </row>
    <row r="24" ht="15.75" customHeight="1">
      <c r="A24" s="2" t="s">
        <v>25</v>
      </c>
      <c r="B24" s="3">
        <v>45717.0</v>
      </c>
      <c r="C24" s="2" t="s">
        <v>20</v>
      </c>
      <c r="D24" s="2" t="s">
        <v>16</v>
      </c>
      <c r="E24" s="2">
        <v>42267.37</v>
      </c>
      <c r="F24" s="2">
        <v>3364.0</v>
      </c>
      <c r="G24" s="2">
        <v>0.16</v>
      </c>
      <c r="H24" s="2">
        <v>13.0</v>
      </c>
      <c r="I24" s="2">
        <v>82.0</v>
      </c>
      <c r="J24" s="2">
        <v>1.61</v>
      </c>
      <c r="K24" s="2">
        <v>1.0</v>
      </c>
      <c r="L24" s="2">
        <v>4.6</v>
      </c>
      <c r="M24" s="2">
        <v>555929.4</v>
      </c>
      <c r="N24" s="2">
        <v>115201.76</v>
      </c>
    </row>
    <row r="25" ht="15.75" customHeight="1">
      <c r="A25" s="2" t="s">
        <v>25</v>
      </c>
      <c r="B25" s="3">
        <v>45748.0</v>
      </c>
      <c r="C25" s="2" t="s">
        <v>20</v>
      </c>
      <c r="D25" s="2" t="s">
        <v>16</v>
      </c>
      <c r="E25" s="2">
        <v>62060.43</v>
      </c>
      <c r="F25" s="2">
        <v>2613.0</v>
      </c>
      <c r="G25" s="2">
        <v>0.216</v>
      </c>
      <c r="H25" s="2">
        <v>12.0</v>
      </c>
      <c r="I25" s="2">
        <v>92.1</v>
      </c>
      <c r="J25" s="2">
        <v>1.55</v>
      </c>
      <c r="K25" s="2">
        <v>0.0</v>
      </c>
      <c r="L25" s="2">
        <v>4.7</v>
      </c>
      <c r="M25" s="2">
        <v>565810.99</v>
      </c>
      <c r="N25" s="2">
        <v>77825.46</v>
      </c>
    </row>
    <row r="26" ht="15.75" customHeight="1">
      <c r="A26" s="2" t="s">
        <v>26</v>
      </c>
      <c r="B26" s="3">
        <v>45658.0</v>
      </c>
      <c r="C26" s="2" t="s">
        <v>27</v>
      </c>
      <c r="D26" s="2" t="s">
        <v>28</v>
      </c>
      <c r="E26" s="2">
        <v>57696.69</v>
      </c>
      <c r="F26" s="2">
        <v>10218.0</v>
      </c>
      <c r="G26" s="2">
        <v>0.121</v>
      </c>
      <c r="H26" s="2">
        <v>25.0</v>
      </c>
      <c r="I26" s="2">
        <v>94.8</v>
      </c>
      <c r="J26" s="2">
        <v>2.99</v>
      </c>
      <c r="K26" s="2">
        <v>0.0</v>
      </c>
      <c r="L26" s="2">
        <v>3.5</v>
      </c>
      <c r="M26" s="2">
        <v>811771.14</v>
      </c>
      <c r="N26" s="2">
        <v>148756.24</v>
      </c>
    </row>
    <row r="27" ht="15.75" customHeight="1">
      <c r="A27" s="2" t="s">
        <v>26</v>
      </c>
      <c r="B27" s="3">
        <v>45689.0</v>
      </c>
      <c r="C27" s="2" t="s">
        <v>27</v>
      </c>
      <c r="D27" s="2" t="s">
        <v>28</v>
      </c>
      <c r="E27" s="2">
        <v>172415.52</v>
      </c>
      <c r="F27" s="2">
        <v>8927.0</v>
      </c>
      <c r="G27" s="2">
        <v>0.14</v>
      </c>
      <c r="H27" s="2">
        <v>22.0</v>
      </c>
      <c r="I27" s="2">
        <v>86.2</v>
      </c>
      <c r="J27" s="2">
        <v>7.04</v>
      </c>
      <c r="K27" s="2">
        <v>0.0</v>
      </c>
      <c r="L27" s="2">
        <v>3.9</v>
      </c>
      <c r="M27" s="2">
        <v>800451.94</v>
      </c>
      <c r="N27" s="2">
        <v>111572.29</v>
      </c>
    </row>
    <row r="28" ht="15.75" customHeight="1">
      <c r="A28" s="2" t="s">
        <v>26</v>
      </c>
      <c r="B28" s="3">
        <v>45717.0</v>
      </c>
      <c r="C28" s="2" t="s">
        <v>27</v>
      </c>
      <c r="D28" s="2" t="s">
        <v>28</v>
      </c>
      <c r="E28" s="2">
        <v>55270.52</v>
      </c>
      <c r="F28" s="2">
        <v>9315.0</v>
      </c>
      <c r="G28" s="2">
        <v>0.169</v>
      </c>
      <c r="H28" s="2">
        <v>23.0</v>
      </c>
      <c r="I28" s="2">
        <v>91.9</v>
      </c>
      <c r="J28" s="2">
        <v>4.94</v>
      </c>
      <c r="K28" s="2">
        <v>0.0</v>
      </c>
      <c r="L28" s="2">
        <v>4.0</v>
      </c>
      <c r="M28" s="2">
        <v>783672.82</v>
      </c>
      <c r="N28" s="2">
        <v>112577.14</v>
      </c>
    </row>
    <row r="29" ht="15.75" customHeight="1">
      <c r="A29" s="2" t="s">
        <v>26</v>
      </c>
      <c r="B29" s="3">
        <v>45748.0</v>
      </c>
      <c r="C29" s="2" t="s">
        <v>27</v>
      </c>
      <c r="D29" s="2" t="s">
        <v>28</v>
      </c>
      <c r="E29" s="2">
        <v>52715.1</v>
      </c>
      <c r="F29" s="2">
        <v>7223.0</v>
      </c>
      <c r="G29" s="2">
        <v>0.122</v>
      </c>
      <c r="H29" s="2">
        <v>16.0</v>
      </c>
      <c r="I29" s="2">
        <v>84.2</v>
      </c>
      <c r="J29" s="2">
        <v>16.15</v>
      </c>
      <c r="K29" s="2">
        <v>0.0</v>
      </c>
      <c r="L29" s="2">
        <v>3.7</v>
      </c>
      <c r="M29" s="2">
        <v>701641.97</v>
      </c>
      <c r="N29" s="2">
        <v>106111.86</v>
      </c>
    </row>
    <row r="30" ht="15.75" customHeight="1">
      <c r="A30" s="2" t="s">
        <v>29</v>
      </c>
      <c r="B30" s="3">
        <v>45658.0</v>
      </c>
      <c r="C30" s="2" t="s">
        <v>15</v>
      </c>
      <c r="D30" s="2" t="s">
        <v>16</v>
      </c>
      <c r="E30" s="2">
        <v>68600.62</v>
      </c>
      <c r="F30" s="2">
        <v>3988.0</v>
      </c>
      <c r="G30" s="2">
        <v>0.124</v>
      </c>
      <c r="H30" s="2">
        <v>11.0</v>
      </c>
      <c r="I30" s="2">
        <v>85.0</v>
      </c>
      <c r="J30" s="2">
        <v>0.48</v>
      </c>
      <c r="K30" s="2">
        <v>0.0</v>
      </c>
      <c r="L30" s="2">
        <v>3.6</v>
      </c>
      <c r="M30" s="2">
        <v>511844.41</v>
      </c>
      <c r="N30" s="2">
        <v>72774.44</v>
      </c>
    </row>
    <row r="31" ht="15.75" customHeight="1">
      <c r="A31" s="2" t="s">
        <v>29</v>
      </c>
      <c r="B31" s="3">
        <v>45689.0</v>
      </c>
      <c r="C31" s="2" t="s">
        <v>15</v>
      </c>
      <c r="D31" s="2" t="s">
        <v>16</v>
      </c>
      <c r="E31" s="2">
        <v>63176.73</v>
      </c>
      <c r="F31" s="2">
        <v>2390.0</v>
      </c>
      <c r="G31" s="2">
        <v>0.216</v>
      </c>
      <c r="H31" s="2">
        <v>9.0</v>
      </c>
      <c r="I31" s="2">
        <v>87.5</v>
      </c>
      <c r="J31" s="2">
        <v>0.31</v>
      </c>
      <c r="K31" s="2">
        <v>0.0</v>
      </c>
      <c r="L31" s="2">
        <v>3.1</v>
      </c>
      <c r="M31" s="2">
        <v>537383.79</v>
      </c>
      <c r="N31" s="2">
        <v>63773.27</v>
      </c>
    </row>
    <row r="32" ht="15.75" customHeight="1">
      <c r="A32" s="2" t="s">
        <v>29</v>
      </c>
      <c r="B32" s="3">
        <v>45717.0</v>
      </c>
      <c r="C32" s="2" t="s">
        <v>15</v>
      </c>
      <c r="D32" s="2" t="s">
        <v>16</v>
      </c>
      <c r="E32" s="2">
        <v>44970.08</v>
      </c>
      <c r="F32" s="2">
        <v>2471.0</v>
      </c>
      <c r="G32" s="2">
        <v>0.136</v>
      </c>
      <c r="H32" s="2">
        <v>11.0</v>
      </c>
      <c r="I32" s="2">
        <v>87.6</v>
      </c>
      <c r="J32" s="2">
        <v>3.01</v>
      </c>
      <c r="K32" s="2">
        <v>1.0</v>
      </c>
      <c r="L32" s="2">
        <v>3.7</v>
      </c>
      <c r="M32" s="2">
        <v>500173.02</v>
      </c>
      <c r="N32" s="2">
        <v>70982.05</v>
      </c>
    </row>
    <row r="33" ht="15.75" customHeight="1">
      <c r="A33" s="2" t="s">
        <v>29</v>
      </c>
      <c r="B33" s="3">
        <v>45748.0</v>
      </c>
      <c r="C33" s="2" t="s">
        <v>15</v>
      </c>
      <c r="D33" s="2" t="s">
        <v>16</v>
      </c>
      <c r="E33" s="2">
        <v>69816.35</v>
      </c>
      <c r="F33" s="2">
        <v>971.0</v>
      </c>
      <c r="G33" s="2">
        <v>0.168</v>
      </c>
      <c r="H33" s="2">
        <v>5.0</v>
      </c>
      <c r="I33" s="2">
        <v>89.9</v>
      </c>
      <c r="J33" s="2">
        <v>12.15</v>
      </c>
      <c r="K33" s="2">
        <v>0.0</v>
      </c>
      <c r="L33" s="2">
        <v>3.6</v>
      </c>
      <c r="M33" s="2">
        <v>427917.38</v>
      </c>
      <c r="N33" s="2">
        <v>81824.31</v>
      </c>
    </row>
    <row r="34" ht="15.75" customHeight="1">
      <c r="A34" s="2" t="s">
        <v>30</v>
      </c>
      <c r="B34" s="3">
        <v>45658.0</v>
      </c>
      <c r="C34" s="2" t="s">
        <v>20</v>
      </c>
      <c r="D34" s="2" t="s">
        <v>16</v>
      </c>
      <c r="E34" s="2">
        <v>54597.83</v>
      </c>
      <c r="F34" s="2">
        <v>9429.0</v>
      </c>
      <c r="G34" s="2">
        <v>0.188</v>
      </c>
      <c r="H34" s="2">
        <v>21.0</v>
      </c>
      <c r="I34" s="2">
        <v>83.3</v>
      </c>
      <c r="J34" s="2">
        <v>11.71</v>
      </c>
      <c r="K34" s="2">
        <v>0.0</v>
      </c>
      <c r="L34" s="2">
        <v>4.2</v>
      </c>
      <c r="M34" s="2">
        <v>641865.03</v>
      </c>
      <c r="N34" s="2">
        <v>81342.58</v>
      </c>
    </row>
    <row r="35" ht="15.75" customHeight="1">
      <c r="A35" s="2" t="s">
        <v>30</v>
      </c>
      <c r="B35" s="3">
        <v>45689.0</v>
      </c>
      <c r="C35" s="2" t="s">
        <v>20</v>
      </c>
      <c r="D35" s="2" t="s">
        <v>16</v>
      </c>
      <c r="E35" s="2">
        <v>73771.91</v>
      </c>
      <c r="F35" s="2">
        <v>11695.0</v>
      </c>
      <c r="G35" s="2">
        <v>0.07</v>
      </c>
      <c r="H35" s="2">
        <v>25.0</v>
      </c>
      <c r="I35" s="2">
        <v>84.7</v>
      </c>
      <c r="J35" s="2">
        <v>0.62</v>
      </c>
      <c r="K35" s="2">
        <v>0.0</v>
      </c>
      <c r="L35" s="2"/>
      <c r="M35" s="2">
        <v>799477.76</v>
      </c>
      <c r="N35" s="2">
        <v>164974.41</v>
      </c>
    </row>
    <row r="36" ht="15.75" customHeight="1">
      <c r="A36" s="2" t="s">
        <v>30</v>
      </c>
      <c r="B36" s="3">
        <v>45717.0</v>
      </c>
      <c r="C36" s="2" t="s">
        <v>20</v>
      </c>
      <c r="D36" s="2" t="s">
        <v>16</v>
      </c>
      <c r="E36" s="2">
        <v>74413.88</v>
      </c>
      <c r="F36" s="2">
        <v>9449.0</v>
      </c>
      <c r="G36" s="2">
        <v>0.039</v>
      </c>
      <c r="H36" s="2">
        <v>23.0</v>
      </c>
      <c r="I36" s="2">
        <v>92.1</v>
      </c>
      <c r="J36" s="2">
        <v>2.12</v>
      </c>
      <c r="K36" s="2">
        <v>0.0</v>
      </c>
      <c r="L36" s="2">
        <v>3.5</v>
      </c>
      <c r="M36" s="2">
        <v>798952.17</v>
      </c>
      <c r="N36" s="2">
        <v>161499.04</v>
      </c>
    </row>
    <row r="37" ht="15.75" customHeight="1">
      <c r="A37" s="2" t="s">
        <v>30</v>
      </c>
      <c r="B37" s="3">
        <v>45748.0</v>
      </c>
      <c r="C37" s="2" t="s">
        <v>20</v>
      </c>
      <c r="D37" s="2" t="s">
        <v>16</v>
      </c>
      <c r="E37" s="2">
        <v>52483.77</v>
      </c>
      <c r="F37" s="2">
        <v>10453.0</v>
      </c>
      <c r="G37" s="2">
        <v>0.247</v>
      </c>
      <c r="H37" s="2">
        <v>25.0</v>
      </c>
      <c r="I37" s="2">
        <v>99.0</v>
      </c>
      <c r="J37" s="2">
        <v>6.31</v>
      </c>
      <c r="K37" s="2">
        <v>0.0</v>
      </c>
      <c r="L37" s="2">
        <v>3.6</v>
      </c>
      <c r="M37" s="2">
        <v>800979.78</v>
      </c>
      <c r="N37" s="2">
        <v>149242.27</v>
      </c>
    </row>
    <row r="38" ht="15.75" customHeight="1">
      <c r="A38" s="2" t="s">
        <v>31</v>
      </c>
      <c r="B38" s="3">
        <v>45658.0</v>
      </c>
      <c r="C38" s="2" t="s">
        <v>20</v>
      </c>
      <c r="D38" s="2" t="s">
        <v>28</v>
      </c>
      <c r="E38" s="2">
        <v>75269.87</v>
      </c>
      <c r="F38" s="2">
        <v>8838.0</v>
      </c>
      <c r="G38" s="2">
        <v>0.092</v>
      </c>
      <c r="H38" s="2">
        <v>21.0</v>
      </c>
      <c r="I38" s="2">
        <v>83.1</v>
      </c>
      <c r="J38" s="2">
        <v>9.56</v>
      </c>
      <c r="K38" s="2">
        <v>1.0</v>
      </c>
      <c r="L38" s="2">
        <v>4.2</v>
      </c>
      <c r="M38" s="2">
        <v>820593.93</v>
      </c>
      <c r="N38" s="2">
        <v>115860.06</v>
      </c>
    </row>
    <row r="39" ht="15.75" customHeight="1">
      <c r="A39" s="2" t="s">
        <v>31</v>
      </c>
      <c r="B39" s="3">
        <v>45689.0</v>
      </c>
      <c r="C39" s="2" t="s">
        <v>20</v>
      </c>
      <c r="D39" s="2" t="s">
        <v>28</v>
      </c>
      <c r="E39" s="2">
        <v>61245.41</v>
      </c>
      <c r="F39" s="2">
        <v>8156.0</v>
      </c>
      <c r="G39" s="2">
        <v>0.156</v>
      </c>
      <c r="H39" s="2">
        <v>19.0</v>
      </c>
      <c r="I39" s="2">
        <v>92.9</v>
      </c>
      <c r="J39" s="2">
        <v>9.05</v>
      </c>
      <c r="K39" s="2">
        <v>0.0</v>
      </c>
      <c r="L39" s="2">
        <v>3.8</v>
      </c>
      <c r="M39" s="2">
        <v>718330.53</v>
      </c>
      <c r="N39" s="2">
        <v>93247.9</v>
      </c>
    </row>
    <row r="40" ht="15.75" customHeight="1">
      <c r="A40" s="2" t="s">
        <v>31</v>
      </c>
      <c r="B40" s="3">
        <v>45717.0</v>
      </c>
      <c r="C40" s="2" t="s">
        <v>20</v>
      </c>
      <c r="D40" s="2" t="s">
        <v>28</v>
      </c>
      <c r="E40" s="2">
        <v>93381.26</v>
      </c>
      <c r="F40" s="2">
        <v>7562.0</v>
      </c>
      <c r="G40" s="2">
        <v>0.198</v>
      </c>
      <c r="H40" s="2">
        <v>19.0</v>
      </c>
      <c r="I40" s="2">
        <v>82.9</v>
      </c>
      <c r="J40" s="2">
        <v>5.05</v>
      </c>
      <c r="K40" s="2">
        <v>0.0</v>
      </c>
      <c r="L40" s="2">
        <v>4.0</v>
      </c>
      <c r="M40" s="2">
        <v>736633.4</v>
      </c>
      <c r="N40" s="2">
        <v>115654.66</v>
      </c>
    </row>
    <row r="41" ht="15.75" customHeight="1">
      <c r="A41" s="2" t="s">
        <v>31</v>
      </c>
      <c r="B41" s="3">
        <v>45748.0</v>
      </c>
      <c r="C41" s="2" t="s">
        <v>20</v>
      </c>
      <c r="D41" s="2" t="s">
        <v>28</v>
      </c>
      <c r="E41" s="2">
        <v>65012.19</v>
      </c>
      <c r="F41" s="2">
        <v>9598.0</v>
      </c>
      <c r="G41" s="2">
        <v>0.085</v>
      </c>
      <c r="H41" s="2">
        <v>24.0</v>
      </c>
      <c r="I41" s="2">
        <v>98.3</v>
      </c>
      <c r="J41" s="2">
        <v>0.89</v>
      </c>
      <c r="K41" s="2">
        <v>0.0</v>
      </c>
      <c r="L41" s="2">
        <v>3.8</v>
      </c>
      <c r="M41" s="2">
        <v>828623.85</v>
      </c>
      <c r="N41" s="2">
        <v>167320.52</v>
      </c>
    </row>
    <row r="42" ht="15.75" customHeight="1">
      <c r="A42" s="2" t="s">
        <v>32</v>
      </c>
      <c r="B42" s="3">
        <v>45658.0</v>
      </c>
      <c r="C42" s="2" t="s">
        <v>15</v>
      </c>
      <c r="D42" s="2" t="s">
        <v>28</v>
      </c>
      <c r="E42" s="2">
        <v>40462.94</v>
      </c>
      <c r="F42" s="2">
        <v>3660.0</v>
      </c>
      <c r="G42" s="2">
        <v>0.218</v>
      </c>
      <c r="H42" s="2">
        <v>11.0</v>
      </c>
      <c r="I42" s="2">
        <v>95.2</v>
      </c>
      <c r="J42" s="2">
        <v>5.57</v>
      </c>
      <c r="K42" s="2">
        <v>0.0</v>
      </c>
      <c r="L42" s="2">
        <v>4.4</v>
      </c>
      <c r="M42" s="2">
        <v>592195.85</v>
      </c>
      <c r="N42" s="2">
        <v>92291.56</v>
      </c>
    </row>
    <row r="43" ht="15.75" customHeight="1">
      <c r="A43" s="2" t="s">
        <v>32</v>
      </c>
      <c r="B43" s="3">
        <v>45689.0</v>
      </c>
      <c r="C43" s="2" t="s">
        <v>15</v>
      </c>
      <c r="D43" s="2" t="s">
        <v>28</v>
      </c>
      <c r="E43" s="2">
        <v>46123.88</v>
      </c>
      <c r="F43" s="2">
        <v>3227.0</v>
      </c>
      <c r="G43" s="2">
        <v>0.143</v>
      </c>
      <c r="H43" s="2">
        <v>10.0</v>
      </c>
      <c r="I43" s="2">
        <v>75.4</v>
      </c>
      <c r="J43" s="2">
        <v>1.06</v>
      </c>
      <c r="K43" s="2">
        <v>0.0</v>
      </c>
      <c r="L43" s="2">
        <v>4.4</v>
      </c>
      <c r="M43" s="2">
        <v>532644.46</v>
      </c>
      <c r="N43" s="2">
        <v>60681.32</v>
      </c>
    </row>
    <row r="44" ht="15.75" customHeight="1">
      <c r="A44" s="2" t="s">
        <v>32</v>
      </c>
      <c r="B44" s="3">
        <v>45717.0</v>
      </c>
      <c r="C44" s="2" t="s">
        <v>15</v>
      </c>
      <c r="D44" s="2" t="s">
        <v>28</v>
      </c>
      <c r="E44" s="2">
        <v>68077.54</v>
      </c>
      <c r="F44" s="2">
        <v>3360.0</v>
      </c>
      <c r="G44" s="2">
        <v>0.128</v>
      </c>
      <c r="H44" s="2">
        <v>14.0</v>
      </c>
      <c r="I44" s="2">
        <v>88.2</v>
      </c>
      <c r="J44" s="2">
        <v>1.24</v>
      </c>
      <c r="K44" s="2">
        <v>1.0</v>
      </c>
      <c r="L44" s="2">
        <v>4.0</v>
      </c>
      <c r="M44" s="2">
        <v>657429.18</v>
      </c>
      <c r="N44" s="2">
        <v>88919.74</v>
      </c>
    </row>
    <row r="45" ht="15.75" customHeight="1">
      <c r="A45" s="2" t="s">
        <v>32</v>
      </c>
      <c r="B45" s="3">
        <v>45748.0</v>
      </c>
      <c r="C45" s="2" t="s">
        <v>15</v>
      </c>
      <c r="D45" s="2" t="s">
        <v>28</v>
      </c>
      <c r="E45" s="2">
        <v>64882.14</v>
      </c>
      <c r="F45" s="2">
        <v>3642.0</v>
      </c>
      <c r="G45" s="2">
        <v>0.019</v>
      </c>
      <c r="H45" s="2">
        <v>13.0</v>
      </c>
      <c r="I45" s="2">
        <v>87.8</v>
      </c>
      <c r="J45" s="2">
        <v>4.52</v>
      </c>
      <c r="K45" s="2">
        <v>0.0</v>
      </c>
      <c r="L45" s="2">
        <v>4.2</v>
      </c>
      <c r="M45" s="2">
        <v>605178.0</v>
      </c>
      <c r="N45" s="2">
        <v>106958.74</v>
      </c>
    </row>
    <row r="46" ht="15.75" customHeight="1">
      <c r="A46" s="2" t="s">
        <v>33</v>
      </c>
      <c r="B46" s="3">
        <v>45658.0</v>
      </c>
      <c r="C46" s="2" t="s">
        <v>27</v>
      </c>
      <c r="D46" s="2" t="s">
        <v>16</v>
      </c>
      <c r="E46" s="2">
        <v>138855.51</v>
      </c>
      <c r="F46" s="2">
        <v>5145.0</v>
      </c>
      <c r="G46" s="2">
        <v>0.06</v>
      </c>
      <c r="H46" s="2">
        <v>17.0</v>
      </c>
      <c r="I46" s="2">
        <v>88.2</v>
      </c>
      <c r="J46" s="2">
        <v>9.58</v>
      </c>
      <c r="K46" s="2">
        <v>0.0</v>
      </c>
      <c r="L46" s="2">
        <v>3.2</v>
      </c>
      <c r="M46" s="2">
        <v>595467.6</v>
      </c>
      <c r="N46" s="2">
        <v>104276.46</v>
      </c>
    </row>
    <row r="47" ht="15.75" customHeight="1">
      <c r="A47" s="2" t="s">
        <v>33</v>
      </c>
      <c r="B47" s="3">
        <v>45689.0</v>
      </c>
      <c r="C47" s="2" t="s">
        <v>27</v>
      </c>
      <c r="D47" s="2" t="s">
        <v>16</v>
      </c>
      <c r="E47" s="2">
        <v>63630.21</v>
      </c>
      <c r="F47" s="2">
        <v>4460.0</v>
      </c>
      <c r="G47" s="2">
        <v>0.235</v>
      </c>
      <c r="H47" s="2">
        <v>14.0</v>
      </c>
      <c r="I47" s="2">
        <v>98.6</v>
      </c>
      <c r="J47" s="2">
        <v>5.52</v>
      </c>
      <c r="K47" s="2">
        <v>0.0</v>
      </c>
      <c r="L47" s="2">
        <v>3.5</v>
      </c>
      <c r="M47" s="2">
        <v>599603.4</v>
      </c>
      <c r="N47" s="2">
        <v>112685.12</v>
      </c>
    </row>
    <row r="48" ht="15.75" customHeight="1">
      <c r="A48" s="2" t="s">
        <v>33</v>
      </c>
      <c r="B48" s="3">
        <v>45717.0</v>
      </c>
      <c r="C48" s="2" t="s">
        <v>27</v>
      </c>
      <c r="D48" s="2" t="s">
        <v>16</v>
      </c>
      <c r="E48" s="2">
        <v>50043.65</v>
      </c>
      <c r="F48" s="2">
        <v>3804.0</v>
      </c>
      <c r="G48" s="2">
        <v>0.113</v>
      </c>
      <c r="H48" s="2">
        <v>11.0</v>
      </c>
      <c r="I48" s="2">
        <v>90.9</v>
      </c>
      <c r="J48" s="2">
        <v>2.7</v>
      </c>
      <c r="K48" s="2">
        <v>1.0</v>
      </c>
      <c r="L48" s="2">
        <v>3.2</v>
      </c>
      <c r="M48" s="2">
        <v>614800.09</v>
      </c>
      <c r="N48" s="2">
        <v>100044.2</v>
      </c>
    </row>
    <row r="49" ht="15.75" customHeight="1">
      <c r="A49" s="2" t="s">
        <v>33</v>
      </c>
      <c r="B49" s="3">
        <v>45748.0</v>
      </c>
      <c r="C49" s="2" t="s">
        <v>27</v>
      </c>
      <c r="D49" s="2" t="s">
        <v>16</v>
      </c>
      <c r="E49" s="2">
        <v>42093.84</v>
      </c>
      <c r="F49" s="2">
        <v>4074.0</v>
      </c>
      <c r="G49" s="2">
        <v>0.155</v>
      </c>
      <c r="H49" s="2">
        <v>15.0</v>
      </c>
      <c r="I49" s="2">
        <v>88.0</v>
      </c>
      <c r="J49" s="2">
        <v>9.64</v>
      </c>
      <c r="K49" s="2">
        <v>0.0</v>
      </c>
      <c r="L49" s="2">
        <v>3.3</v>
      </c>
      <c r="M49" s="2">
        <v>585365.73</v>
      </c>
      <c r="N49" s="2">
        <v>81011.52</v>
      </c>
    </row>
    <row r="50" ht="15.75" customHeight="1">
      <c r="A50" s="2" t="s">
        <v>34</v>
      </c>
      <c r="B50" s="3">
        <v>45658.0</v>
      </c>
      <c r="C50" s="2" t="s">
        <v>20</v>
      </c>
      <c r="D50" s="2" t="s">
        <v>28</v>
      </c>
      <c r="E50" s="2">
        <v>46624.05</v>
      </c>
      <c r="F50" s="2">
        <v>5104.0</v>
      </c>
      <c r="G50" s="2">
        <v>0.109</v>
      </c>
      <c r="H50" s="2">
        <v>11.0</v>
      </c>
      <c r="I50" s="2">
        <v>97.3</v>
      </c>
      <c r="J50" s="2">
        <v>3.49</v>
      </c>
      <c r="K50" s="2">
        <v>1.0</v>
      </c>
      <c r="L50" s="2">
        <v>4.7</v>
      </c>
      <c r="M50" s="2">
        <v>622811.74</v>
      </c>
      <c r="N50" s="2">
        <v>109978.35</v>
      </c>
    </row>
    <row r="51" ht="15.75" customHeight="1">
      <c r="A51" s="2" t="s">
        <v>34</v>
      </c>
      <c r="B51" s="3">
        <v>45689.0</v>
      </c>
      <c r="C51" s="2" t="s">
        <v>20</v>
      </c>
      <c r="D51" s="2" t="s">
        <v>28</v>
      </c>
      <c r="E51" s="2">
        <v>49710.29</v>
      </c>
      <c r="F51" s="2">
        <v>5559.0</v>
      </c>
      <c r="G51" s="2">
        <v>0.218</v>
      </c>
      <c r="H51" s="2">
        <v>14.0</v>
      </c>
      <c r="I51" s="2">
        <v>71.0</v>
      </c>
      <c r="J51" s="2">
        <v>9.11</v>
      </c>
      <c r="K51" s="2">
        <v>0.0</v>
      </c>
      <c r="L51" s="2">
        <v>4.6</v>
      </c>
      <c r="M51" s="2">
        <v>603297.57</v>
      </c>
      <c r="N51" s="2">
        <v>60592.26</v>
      </c>
    </row>
    <row r="52" ht="15.75" customHeight="1">
      <c r="A52" s="2" t="s">
        <v>34</v>
      </c>
      <c r="B52" s="3">
        <v>45717.0</v>
      </c>
      <c r="C52" s="2" t="s">
        <v>20</v>
      </c>
      <c r="D52" s="2" t="s">
        <v>28</v>
      </c>
      <c r="E52" s="2">
        <v>48287.85</v>
      </c>
      <c r="F52" s="2">
        <v>5150.0</v>
      </c>
      <c r="G52" s="2">
        <v>0.008</v>
      </c>
      <c r="H52" s="2">
        <v>12.0</v>
      </c>
      <c r="I52" s="2">
        <v>80.4</v>
      </c>
      <c r="J52" s="2">
        <v>7.4</v>
      </c>
      <c r="K52" s="2">
        <v>0.0</v>
      </c>
      <c r="L52" s="2">
        <v>4.5</v>
      </c>
      <c r="M52" s="2">
        <v>625672.86</v>
      </c>
      <c r="N52" s="2">
        <v>118020.12</v>
      </c>
    </row>
    <row r="53" ht="15.75" customHeight="1">
      <c r="A53" s="2" t="s">
        <v>34</v>
      </c>
      <c r="B53" s="3">
        <v>45748.0</v>
      </c>
      <c r="C53" s="2" t="s">
        <v>20</v>
      </c>
      <c r="D53" s="2" t="s">
        <v>28</v>
      </c>
      <c r="E53" s="2">
        <v>65312.49</v>
      </c>
      <c r="F53" s="2">
        <v>7189.0</v>
      </c>
      <c r="G53" s="2">
        <v>0.05</v>
      </c>
      <c r="H53" s="2">
        <v>19.0</v>
      </c>
      <c r="I53" s="2">
        <v>93.7</v>
      </c>
      <c r="J53" s="2">
        <v>7.16</v>
      </c>
      <c r="K53" s="2">
        <v>0.0</v>
      </c>
      <c r="L53" s="2">
        <v>4.6</v>
      </c>
      <c r="M53" s="2">
        <v>773815.14</v>
      </c>
      <c r="N53" s="2">
        <v>133948.39</v>
      </c>
    </row>
    <row r="54" ht="15.75" customHeight="1">
      <c r="A54" s="2" t="s">
        <v>35</v>
      </c>
      <c r="B54" s="3">
        <v>45658.0</v>
      </c>
      <c r="C54" s="2" t="s">
        <v>27</v>
      </c>
      <c r="D54" s="2" t="s">
        <v>18</v>
      </c>
      <c r="E54" s="2">
        <v>53015.46</v>
      </c>
      <c r="F54" s="2">
        <v>3279.0</v>
      </c>
      <c r="G54" s="2">
        <v>0.087</v>
      </c>
      <c r="H54" s="2">
        <v>9.0</v>
      </c>
      <c r="I54" s="2">
        <v>84.3</v>
      </c>
      <c r="J54" s="2">
        <v>22.02</v>
      </c>
      <c r="K54" s="2">
        <v>0.0</v>
      </c>
      <c r="L54" s="2">
        <v>3.9</v>
      </c>
      <c r="M54" s="2">
        <v>463534.25</v>
      </c>
      <c r="N54" s="2">
        <v>81834.54</v>
      </c>
    </row>
    <row r="55" ht="15.75" customHeight="1">
      <c r="A55" s="2" t="s">
        <v>35</v>
      </c>
      <c r="B55" s="3">
        <v>45689.0</v>
      </c>
      <c r="C55" s="2" t="s">
        <v>27</v>
      </c>
      <c r="D55" s="2" t="s">
        <v>18</v>
      </c>
      <c r="E55" s="2">
        <v>99874.01</v>
      </c>
      <c r="F55" s="2">
        <v>5887.0</v>
      </c>
      <c r="G55" s="2">
        <v>0.262</v>
      </c>
      <c r="H55" s="2">
        <v>14.0</v>
      </c>
      <c r="I55" s="2">
        <v>88.7</v>
      </c>
      <c r="J55" s="2">
        <v>6.18</v>
      </c>
      <c r="K55" s="2">
        <v>0.0</v>
      </c>
      <c r="L55" s="2">
        <v>4.7</v>
      </c>
      <c r="M55" s="2">
        <v>746677.75</v>
      </c>
      <c r="N55" s="2">
        <v>122437.84</v>
      </c>
    </row>
    <row r="56" ht="15.75" customHeight="1">
      <c r="A56" s="2" t="s">
        <v>35</v>
      </c>
      <c r="B56" s="3">
        <v>45717.0</v>
      </c>
      <c r="C56" s="2" t="s">
        <v>27</v>
      </c>
      <c r="D56" s="2" t="s">
        <v>18</v>
      </c>
      <c r="E56" s="2">
        <v>81195.5</v>
      </c>
      <c r="F56" s="2">
        <v>5516.0</v>
      </c>
      <c r="G56" s="2">
        <v>0.106</v>
      </c>
      <c r="H56" s="2">
        <v>14.0</v>
      </c>
      <c r="I56" s="2">
        <v>88.0</v>
      </c>
      <c r="J56" s="2">
        <v>1.76</v>
      </c>
      <c r="K56" s="2">
        <v>0.0</v>
      </c>
      <c r="L56" s="2">
        <v>4.3</v>
      </c>
      <c r="M56" s="2">
        <v>720852.5</v>
      </c>
      <c r="N56" s="2">
        <v>98565.62</v>
      </c>
    </row>
    <row r="57" ht="15.75" customHeight="1">
      <c r="A57" s="2" t="s">
        <v>35</v>
      </c>
      <c r="B57" s="3">
        <v>45748.0</v>
      </c>
      <c r="C57" s="2" t="s">
        <v>27</v>
      </c>
      <c r="D57" s="2" t="s">
        <v>18</v>
      </c>
      <c r="E57" s="2">
        <v>27808.6</v>
      </c>
      <c r="F57" s="2">
        <v>2863.0</v>
      </c>
      <c r="G57" s="2">
        <v>0.08</v>
      </c>
      <c r="H57" s="2">
        <v>13.0</v>
      </c>
      <c r="I57" s="2">
        <v>89.3</v>
      </c>
      <c r="J57" s="2">
        <v>0.47</v>
      </c>
      <c r="K57" s="2">
        <v>0.0</v>
      </c>
      <c r="L57" s="2">
        <v>4.1</v>
      </c>
      <c r="M57" s="2">
        <v>487464.91</v>
      </c>
      <c r="N57" s="2">
        <v>64562.26</v>
      </c>
    </row>
    <row r="58" ht="15.75" customHeight="1">
      <c r="A58" s="2" t="s">
        <v>36</v>
      </c>
      <c r="B58" s="3">
        <v>45658.0</v>
      </c>
      <c r="C58" s="2" t="s">
        <v>15</v>
      </c>
      <c r="D58" s="2" t="s">
        <v>21</v>
      </c>
      <c r="E58" s="2">
        <v>19365.06</v>
      </c>
      <c r="F58" s="2">
        <v>2378.0</v>
      </c>
      <c r="G58" s="2">
        <v>0.0</v>
      </c>
      <c r="H58" s="2">
        <v>12.0</v>
      </c>
      <c r="I58" s="2">
        <v>94.8</v>
      </c>
      <c r="J58" s="2">
        <v>0.2</v>
      </c>
      <c r="K58" s="2">
        <v>0.0</v>
      </c>
      <c r="L58" s="2">
        <v>3.5</v>
      </c>
      <c r="M58" s="2">
        <v>518049.26</v>
      </c>
      <c r="N58" s="2">
        <v>108592.49</v>
      </c>
    </row>
    <row r="59" ht="15.75" customHeight="1">
      <c r="A59" s="2" t="s">
        <v>36</v>
      </c>
      <c r="B59" s="3">
        <v>45689.0</v>
      </c>
      <c r="C59" s="2" t="s">
        <v>15</v>
      </c>
      <c r="D59" s="2" t="s">
        <v>21</v>
      </c>
      <c r="E59" s="2">
        <v>59405.68</v>
      </c>
      <c r="F59" s="2">
        <v>2515.0</v>
      </c>
      <c r="G59" s="2">
        <v>0.039</v>
      </c>
      <c r="H59" s="2">
        <v>12.0</v>
      </c>
      <c r="I59" s="2">
        <v>76.0</v>
      </c>
      <c r="J59" s="2">
        <v>5.11</v>
      </c>
      <c r="K59" s="2">
        <v>0.0</v>
      </c>
      <c r="L59" s="2">
        <v>3.7</v>
      </c>
      <c r="M59" s="2">
        <v>500298.48</v>
      </c>
      <c r="N59" s="2">
        <v>73461.32</v>
      </c>
    </row>
    <row r="60" ht="15.75" customHeight="1">
      <c r="A60" s="2" t="s">
        <v>36</v>
      </c>
      <c r="B60" s="3">
        <v>45717.0</v>
      </c>
      <c r="C60" s="2" t="s">
        <v>15</v>
      </c>
      <c r="D60" s="2" t="s">
        <v>21</v>
      </c>
      <c r="E60" s="2">
        <v>118910.48</v>
      </c>
      <c r="F60" s="2">
        <v>4022.0</v>
      </c>
      <c r="G60" s="2">
        <v>0.137</v>
      </c>
      <c r="H60" s="2">
        <v>11.0</v>
      </c>
      <c r="I60" s="2">
        <v>87.1</v>
      </c>
      <c r="J60" s="2">
        <v>0.2</v>
      </c>
      <c r="K60" s="2">
        <v>0.0</v>
      </c>
      <c r="L60" s="2">
        <v>3.1</v>
      </c>
      <c r="M60" s="2">
        <v>617291.15</v>
      </c>
      <c r="N60" s="2">
        <v>117782.0</v>
      </c>
    </row>
    <row r="61" ht="15.75" customHeight="1">
      <c r="A61" s="2" t="s">
        <v>36</v>
      </c>
      <c r="B61" s="3">
        <v>45748.0</v>
      </c>
      <c r="C61" s="2" t="s">
        <v>15</v>
      </c>
      <c r="D61" s="2" t="s">
        <v>21</v>
      </c>
      <c r="E61" s="2">
        <v>52952.12</v>
      </c>
      <c r="F61" s="2">
        <v>4377.0</v>
      </c>
      <c r="G61" s="2">
        <v>0.092</v>
      </c>
      <c r="H61" s="2">
        <v>14.0</v>
      </c>
      <c r="I61" s="2">
        <v>88.6</v>
      </c>
      <c r="J61" s="2">
        <v>13.59</v>
      </c>
      <c r="K61" s="2">
        <v>0.0</v>
      </c>
      <c r="L61" s="2">
        <v>3.1</v>
      </c>
      <c r="M61" s="2">
        <v>553756.43</v>
      </c>
      <c r="N61" s="2">
        <v>86166.77</v>
      </c>
    </row>
    <row r="62" ht="15.75" customHeight="1">
      <c r="A62" s="2" t="s">
        <v>37</v>
      </c>
      <c r="B62" s="3">
        <v>45658.0</v>
      </c>
      <c r="C62" s="2" t="s">
        <v>24</v>
      </c>
      <c r="D62" s="2" t="s">
        <v>18</v>
      </c>
      <c r="E62" s="2">
        <v>74907.98</v>
      </c>
      <c r="F62" s="2">
        <v>5306.0</v>
      </c>
      <c r="G62" s="2">
        <v>0.062</v>
      </c>
      <c r="H62" s="2">
        <v>16.0</v>
      </c>
      <c r="I62" s="2">
        <v>95.6</v>
      </c>
      <c r="J62" s="2">
        <v>1.02</v>
      </c>
      <c r="K62" s="2">
        <v>0.0</v>
      </c>
      <c r="L62" s="2">
        <v>3.7</v>
      </c>
      <c r="M62" s="2">
        <v>749559.71</v>
      </c>
      <c r="N62" s="2">
        <v>144522.53</v>
      </c>
    </row>
    <row r="63" ht="15.75" customHeight="1">
      <c r="A63" s="2" t="s">
        <v>37</v>
      </c>
      <c r="B63" s="3">
        <v>45689.0</v>
      </c>
      <c r="C63" s="2" t="s">
        <v>24</v>
      </c>
      <c r="D63" s="2" t="s">
        <v>18</v>
      </c>
      <c r="E63" s="2">
        <v>37284.66</v>
      </c>
      <c r="F63" s="2">
        <v>3928.0</v>
      </c>
      <c r="G63" s="2">
        <v>0.074</v>
      </c>
      <c r="H63" s="2">
        <v>12.0</v>
      </c>
      <c r="I63" s="2">
        <v>86.5</v>
      </c>
      <c r="J63" s="2">
        <v>1.64</v>
      </c>
      <c r="K63" s="2">
        <v>0.0</v>
      </c>
      <c r="L63" s="2">
        <v>3.8</v>
      </c>
      <c r="M63" s="2">
        <v>615966.48</v>
      </c>
      <c r="N63" s="2">
        <v>91509.38</v>
      </c>
    </row>
    <row r="64" ht="15.75" customHeight="1">
      <c r="A64" s="2" t="s">
        <v>37</v>
      </c>
      <c r="B64" s="3">
        <v>45717.0</v>
      </c>
      <c r="C64" s="2" t="s">
        <v>24</v>
      </c>
      <c r="D64" s="2" t="s">
        <v>18</v>
      </c>
      <c r="E64" s="2">
        <v>50343.19</v>
      </c>
      <c r="F64" s="2">
        <v>3845.0</v>
      </c>
      <c r="G64" s="2">
        <v>0.113</v>
      </c>
      <c r="H64" s="2">
        <v>9.0</v>
      </c>
      <c r="I64" s="2">
        <v>88.7</v>
      </c>
      <c r="J64" s="2">
        <v>5.15</v>
      </c>
      <c r="K64" s="2">
        <v>0.0</v>
      </c>
      <c r="L64" s="2">
        <v>3.3</v>
      </c>
      <c r="M64" s="2">
        <v>572011.2</v>
      </c>
      <c r="N64" s="2">
        <v>101409.68</v>
      </c>
    </row>
    <row r="65" ht="15.75" customHeight="1">
      <c r="A65" s="2" t="s">
        <v>37</v>
      </c>
      <c r="B65" s="3">
        <v>45748.0</v>
      </c>
      <c r="C65" s="2" t="s">
        <v>24</v>
      </c>
      <c r="D65" s="2" t="s">
        <v>18</v>
      </c>
      <c r="E65" s="2">
        <v>74954.47</v>
      </c>
      <c r="F65" s="2">
        <v>6620.0</v>
      </c>
      <c r="G65" s="2">
        <v>0.054</v>
      </c>
      <c r="H65" s="2">
        <v>17.0</v>
      </c>
      <c r="I65" s="2">
        <v>91.1</v>
      </c>
      <c r="J65" s="2">
        <v>1.11</v>
      </c>
      <c r="K65" s="2">
        <v>0.0</v>
      </c>
      <c r="L65" s="2">
        <v>3.5</v>
      </c>
      <c r="M65" s="2">
        <v>761860.19</v>
      </c>
      <c r="N65" s="2">
        <v>133279.38</v>
      </c>
    </row>
    <row r="66" ht="15.75" customHeight="1">
      <c r="A66" s="2" t="s">
        <v>38</v>
      </c>
      <c r="B66" s="3">
        <v>45658.0</v>
      </c>
      <c r="C66" s="2" t="s">
        <v>27</v>
      </c>
      <c r="D66" s="2" t="s">
        <v>18</v>
      </c>
      <c r="E66" s="2">
        <v>70040.31</v>
      </c>
      <c r="F66" s="2">
        <v>9175.0</v>
      </c>
      <c r="G66" s="2">
        <v>0.107</v>
      </c>
      <c r="H66" s="2">
        <v>23.0</v>
      </c>
      <c r="I66" s="2">
        <v>95.1</v>
      </c>
      <c r="J66" s="2">
        <v>6.08</v>
      </c>
      <c r="K66" s="2">
        <v>1.0</v>
      </c>
      <c r="L66" s="2">
        <v>3.4</v>
      </c>
      <c r="M66" s="2">
        <v>784502.68</v>
      </c>
      <c r="N66" s="2">
        <v>129519.72</v>
      </c>
    </row>
    <row r="67" ht="15.75" customHeight="1">
      <c r="A67" s="2" t="s">
        <v>38</v>
      </c>
      <c r="B67" s="3">
        <v>45689.0</v>
      </c>
      <c r="C67" s="2" t="s">
        <v>27</v>
      </c>
      <c r="D67" s="2" t="s">
        <v>18</v>
      </c>
      <c r="E67" s="2">
        <v>51148.69</v>
      </c>
      <c r="F67" s="2">
        <v>7940.0</v>
      </c>
      <c r="G67" s="2">
        <v>0.156</v>
      </c>
      <c r="H67" s="2">
        <v>18.0</v>
      </c>
      <c r="I67" s="2">
        <v>93.3</v>
      </c>
      <c r="J67" s="2">
        <v>10.91</v>
      </c>
      <c r="K67" s="2">
        <v>0.0</v>
      </c>
      <c r="L67" s="2">
        <v>3.6</v>
      </c>
      <c r="M67" s="2">
        <v>717141.55</v>
      </c>
      <c r="N67" s="2">
        <v>134013.61</v>
      </c>
    </row>
    <row r="68" ht="15.75" customHeight="1">
      <c r="A68" s="2" t="s">
        <v>38</v>
      </c>
      <c r="B68" s="3">
        <v>45717.0</v>
      </c>
      <c r="C68" s="2" t="s">
        <v>27</v>
      </c>
      <c r="D68" s="2" t="s">
        <v>18</v>
      </c>
      <c r="E68" s="2">
        <v>79346.1</v>
      </c>
      <c r="F68" s="2">
        <v>9628.0</v>
      </c>
      <c r="G68" s="2">
        <v>0.102</v>
      </c>
      <c r="H68" s="2">
        <v>20.0</v>
      </c>
      <c r="I68" s="2">
        <v>99.0</v>
      </c>
      <c r="J68" s="2">
        <v>19.01</v>
      </c>
      <c r="K68" s="2">
        <v>1.0</v>
      </c>
      <c r="L68" s="2">
        <v>3.2</v>
      </c>
      <c r="M68" s="2">
        <v>685379.08</v>
      </c>
      <c r="N68" s="2">
        <v>106898.82</v>
      </c>
    </row>
    <row r="69" ht="15.75" customHeight="1">
      <c r="A69" s="2" t="s">
        <v>38</v>
      </c>
      <c r="B69" s="3">
        <v>45748.0</v>
      </c>
      <c r="C69" s="2" t="s">
        <v>27</v>
      </c>
      <c r="D69" s="2" t="s">
        <v>18</v>
      </c>
      <c r="E69" s="2">
        <v>42018.4</v>
      </c>
      <c r="F69" s="2">
        <v>8296.0</v>
      </c>
      <c r="G69" s="2">
        <v>0.115</v>
      </c>
      <c r="H69" s="2">
        <v>17.0</v>
      </c>
      <c r="I69" s="2">
        <v>91.8</v>
      </c>
      <c r="J69" s="2">
        <v>0.77</v>
      </c>
      <c r="K69" s="2">
        <v>0.0</v>
      </c>
      <c r="L69" s="2">
        <v>3.4</v>
      </c>
      <c r="M69" s="2">
        <v>740496.65</v>
      </c>
      <c r="N69" s="2">
        <v>128020.9</v>
      </c>
    </row>
    <row r="70" ht="15.75" customHeight="1">
      <c r="A70" s="2" t="s">
        <v>39</v>
      </c>
      <c r="B70" s="3">
        <v>45658.0</v>
      </c>
      <c r="C70" s="2" t="s">
        <v>15</v>
      </c>
      <c r="D70" s="2" t="s">
        <v>18</v>
      </c>
      <c r="E70" s="2">
        <v>70937.24</v>
      </c>
      <c r="F70" s="2">
        <v>3595.0</v>
      </c>
      <c r="G70" s="2">
        <v>0.141</v>
      </c>
      <c r="H70" s="2">
        <v>11.0</v>
      </c>
      <c r="I70" s="2">
        <v>88.9</v>
      </c>
      <c r="J70" s="2">
        <v>2.83</v>
      </c>
      <c r="K70" s="2">
        <v>1.0</v>
      </c>
      <c r="L70" s="2">
        <v>3.3</v>
      </c>
      <c r="M70" s="2">
        <v>661927.14</v>
      </c>
      <c r="N70" s="2">
        <v>79218.57</v>
      </c>
    </row>
    <row r="71" ht="15.75" customHeight="1">
      <c r="A71" s="2" t="s">
        <v>39</v>
      </c>
      <c r="B71" s="3">
        <v>45689.0</v>
      </c>
      <c r="C71" s="2" t="s">
        <v>15</v>
      </c>
      <c r="D71" s="2" t="s">
        <v>18</v>
      </c>
      <c r="E71" s="2">
        <v>36813.45</v>
      </c>
      <c r="F71" s="2">
        <v>2834.0</v>
      </c>
      <c r="G71" s="2">
        <v>0.191</v>
      </c>
      <c r="H71" s="2">
        <v>11.0</v>
      </c>
      <c r="I71" s="2">
        <v>81.8</v>
      </c>
      <c r="J71" s="2">
        <v>2.33</v>
      </c>
      <c r="K71" s="2">
        <v>0.0</v>
      </c>
      <c r="L71" s="2">
        <v>3.3</v>
      </c>
      <c r="M71" s="2">
        <v>479050.5</v>
      </c>
      <c r="N71" s="2">
        <v>53651.11</v>
      </c>
    </row>
    <row r="72" ht="15.75" customHeight="1">
      <c r="A72" s="2" t="s">
        <v>39</v>
      </c>
      <c r="B72" s="3">
        <v>45717.0</v>
      </c>
      <c r="C72" s="2" t="s">
        <v>15</v>
      </c>
      <c r="D72" s="2" t="s">
        <v>18</v>
      </c>
      <c r="E72" s="2">
        <v>60571.82</v>
      </c>
      <c r="F72" s="2">
        <v>3193.0</v>
      </c>
      <c r="G72" s="2">
        <v>0.197</v>
      </c>
      <c r="H72" s="2">
        <v>7.0</v>
      </c>
      <c r="I72" s="2">
        <v>99.0</v>
      </c>
      <c r="J72" s="2">
        <v>1.43</v>
      </c>
      <c r="K72" s="2">
        <v>0.0</v>
      </c>
      <c r="L72" s="2">
        <v>3.2</v>
      </c>
      <c r="M72" s="2">
        <v>605023.87</v>
      </c>
      <c r="N72" s="2">
        <v>98545.81</v>
      </c>
    </row>
    <row r="73" ht="15.75" customHeight="1">
      <c r="A73" s="2" t="s">
        <v>39</v>
      </c>
      <c r="B73" s="3">
        <v>45748.0</v>
      </c>
      <c r="C73" s="2" t="s">
        <v>15</v>
      </c>
      <c r="D73" s="2" t="s">
        <v>18</v>
      </c>
      <c r="E73" s="2">
        <v>55081.16</v>
      </c>
      <c r="F73" s="2">
        <v>5485.0</v>
      </c>
      <c r="G73" s="2">
        <v>0.036</v>
      </c>
      <c r="H73" s="2">
        <v>12.0</v>
      </c>
      <c r="I73" s="2">
        <v>88.0</v>
      </c>
      <c r="J73" s="2"/>
      <c r="K73" s="2">
        <v>0.0</v>
      </c>
      <c r="L73" s="2">
        <v>3.5</v>
      </c>
      <c r="M73" s="2">
        <v>674774.09</v>
      </c>
      <c r="N73" s="2">
        <v>141917.59</v>
      </c>
    </row>
    <row r="74" ht="15.75" customHeight="1">
      <c r="A74" s="2" t="s">
        <v>40</v>
      </c>
      <c r="B74" s="3">
        <v>45658.0</v>
      </c>
      <c r="C74" s="2" t="s">
        <v>15</v>
      </c>
      <c r="D74" s="2" t="s">
        <v>16</v>
      </c>
      <c r="E74" s="2">
        <v>46201.46</v>
      </c>
      <c r="F74" s="2">
        <v>5918.0</v>
      </c>
      <c r="G74" s="2">
        <v>0.277</v>
      </c>
      <c r="H74" s="2">
        <v>13.0</v>
      </c>
      <c r="I74" s="2">
        <v>78.8</v>
      </c>
      <c r="J74" s="2">
        <v>4.91</v>
      </c>
      <c r="K74" s="2">
        <v>0.0</v>
      </c>
      <c r="L74" s="2">
        <v>4.5</v>
      </c>
      <c r="M74" s="2">
        <v>616069.41</v>
      </c>
      <c r="N74" s="2">
        <v>54453.99</v>
      </c>
    </row>
    <row r="75" ht="15.75" customHeight="1">
      <c r="A75" s="2" t="s">
        <v>40</v>
      </c>
      <c r="B75" s="3">
        <v>45689.0</v>
      </c>
      <c r="C75" s="2" t="s">
        <v>15</v>
      </c>
      <c r="D75" s="2" t="s">
        <v>16</v>
      </c>
      <c r="E75" s="2">
        <v>53762.92</v>
      </c>
      <c r="F75" s="2">
        <v>6821.0</v>
      </c>
      <c r="G75" s="2">
        <v>0.066</v>
      </c>
      <c r="H75" s="2">
        <v>19.0</v>
      </c>
      <c r="I75" s="2">
        <v>94.6</v>
      </c>
      <c r="J75" s="2">
        <v>7.03</v>
      </c>
      <c r="K75" s="2">
        <v>0.0</v>
      </c>
      <c r="L75" s="2">
        <v>4.4</v>
      </c>
      <c r="M75" s="2">
        <v>630829.94</v>
      </c>
      <c r="N75" s="2">
        <v>117090.02</v>
      </c>
    </row>
    <row r="76" ht="15.75" customHeight="1">
      <c r="A76" s="2" t="s">
        <v>40</v>
      </c>
      <c r="B76" s="3">
        <v>45717.0</v>
      </c>
      <c r="C76" s="2" t="s">
        <v>15</v>
      </c>
      <c r="D76" s="2" t="s">
        <v>16</v>
      </c>
      <c r="E76" s="2">
        <v>70144.78</v>
      </c>
      <c r="F76" s="2">
        <v>6806.0</v>
      </c>
      <c r="G76" s="2">
        <v>0.178</v>
      </c>
      <c r="H76" s="2">
        <v>20.0</v>
      </c>
      <c r="I76" s="2">
        <v>93.1</v>
      </c>
      <c r="J76" s="2">
        <v>0.28</v>
      </c>
      <c r="K76" s="2">
        <v>1.0</v>
      </c>
      <c r="L76" s="2">
        <v>4.3</v>
      </c>
      <c r="M76" s="2">
        <v>788087.68</v>
      </c>
      <c r="N76" s="2">
        <v>116803.42</v>
      </c>
    </row>
    <row r="77" ht="15.75" customHeight="1">
      <c r="A77" s="2" t="s">
        <v>40</v>
      </c>
      <c r="B77" s="3">
        <v>45748.0</v>
      </c>
      <c r="C77" s="2" t="s">
        <v>15</v>
      </c>
      <c r="D77" s="2" t="s">
        <v>16</v>
      </c>
      <c r="E77" s="2">
        <v>58749.63</v>
      </c>
      <c r="F77" s="2">
        <v>8252.0</v>
      </c>
      <c r="G77" s="2">
        <v>0.203</v>
      </c>
      <c r="H77" s="2">
        <v>20.0</v>
      </c>
      <c r="I77" s="2">
        <v>85.2</v>
      </c>
      <c r="J77" s="2">
        <v>3.61</v>
      </c>
      <c r="K77" s="2">
        <v>0.0</v>
      </c>
      <c r="L77" s="2">
        <v>4.5</v>
      </c>
      <c r="M77" s="2">
        <v>680840.36</v>
      </c>
      <c r="N77" s="2">
        <v>68007.68</v>
      </c>
    </row>
    <row r="78" ht="15.75" customHeight="1">
      <c r="A78" s="2" t="s">
        <v>41</v>
      </c>
      <c r="B78" s="3">
        <v>45658.0</v>
      </c>
      <c r="C78" s="2" t="s">
        <v>24</v>
      </c>
      <c r="D78" s="2" t="s">
        <v>18</v>
      </c>
      <c r="E78" s="2">
        <v>56973.18</v>
      </c>
      <c r="F78" s="2">
        <v>6662.0</v>
      </c>
      <c r="G78" s="2">
        <v>0.1</v>
      </c>
      <c r="H78" s="2">
        <v>15.0</v>
      </c>
      <c r="I78" s="2">
        <v>77.7</v>
      </c>
      <c r="J78" s="2">
        <v>7.52</v>
      </c>
      <c r="K78" s="2">
        <v>1.0</v>
      </c>
      <c r="L78" s="2">
        <v>3.2</v>
      </c>
      <c r="M78" s="2">
        <v>643657.47</v>
      </c>
      <c r="N78" s="2">
        <v>87022.45</v>
      </c>
    </row>
    <row r="79" ht="15.75" customHeight="1">
      <c r="A79" s="2" t="s">
        <v>41</v>
      </c>
      <c r="B79" s="3">
        <v>45689.0</v>
      </c>
      <c r="C79" s="2" t="s">
        <v>24</v>
      </c>
      <c r="D79" s="2" t="s">
        <v>18</v>
      </c>
      <c r="E79" s="2">
        <v>54872.82</v>
      </c>
      <c r="F79" s="2">
        <v>5962.0</v>
      </c>
      <c r="G79" s="2">
        <v>0.064</v>
      </c>
      <c r="H79" s="2">
        <v>12.0</v>
      </c>
      <c r="I79" s="2">
        <v>85.4</v>
      </c>
      <c r="J79" s="2">
        <v>2.58</v>
      </c>
      <c r="K79" s="2">
        <v>0.0</v>
      </c>
      <c r="L79" s="2">
        <v>2.9</v>
      </c>
      <c r="M79" s="2">
        <v>691112.6</v>
      </c>
      <c r="N79" s="2">
        <v>109212.83</v>
      </c>
    </row>
    <row r="80" ht="15.75" customHeight="1">
      <c r="A80" s="2" t="s">
        <v>41</v>
      </c>
      <c r="B80" s="3">
        <v>45717.0</v>
      </c>
      <c r="C80" s="2" t="s">
        <v>24</v>
      </c>
      <c r="D80" s="2" t="s">
        <v>18</v>
      </c>
      <c r="E80" s="2">
        <v>80562.81</v>
      </c>
      <c r="F80" s="2">
        <v>7470.0</v>
      </c>
      <c r="G80" s="2">
        <v>0.172</v>
      </c>
      <c r="H80" s="2">
        <v>16.0</v>
      </c>
      <c r="I80" s="2">
        <v>83.5</v>
      </c>
      <c r="J80" s="2">
        <v>2.29</v>
      </c>
      <c r="K80" s="2">
        <v>0.0</v>
      </c>
      <c r="L80" s="2">
        <v>3.3</v>
      </c>
      <c r="M80" s="2">
        <v>776922.17</v>
      </c>
      <c r="N80" s="2">
        <v>150701.93</v>
      </c>
    </row>
    <row r="81" ht="15.75" customHeight="1">
      <c r="A81" s="2" t="s">
        <v>41</v>
      </c>
      <c r="B81" s="3">
        <v>45748.0</v>
      </c>
      <c r="C81" s="2" t="s">
        <v>24</v>
      </c>
      <c r="D81" s="2" t="s">
        <v>18</v>
      </c>
      <c r="E81" s="2">
        <v>77999.9</v>
      </c>
      <c r="F81" s="2">
        <v>5974.0</v>
      </c>
      <c r="G81" s="2">
        <v>0.252</v>
      </c>
      <c r="H81" s="2">
        <v>14.0</v>
      </c>
      <c r="I81" s="2">
        <v>81.3</v>
      </c>
      <c r="J81" s="2">
        <v>2.39</v>
      </c>
      <c r="K81" s="2">
        <v>0.0</v>
      </c>
      <c r="L81" s="2">
        <v>3.2</v>
      </c>
      <c r="M81" s="2">
        <v>636561.34</v>
      </c>
      <c r="N81" s="2">
        <v>93861.06</v>
      </c>
    </row>
    <row r="82" ht="15.75" customHeight="1">
      <c r="A82" s="2" t="s">
        <v>42</v>
      </c>
      <c r="B82" s="3">
        <v>45658.0</v>
      </c>
      <c r="C82" s="2" t="s">
        <v>27</v>
      </c>
      <c r="D82" s="2" t="s">
        <v>28</v>
      </c>
      <c r="E82" s="2">
        <v>60881.01</v>
      </c>
      <c r="F82" s="2">
        <v>5410.0</v>
      </c>
      <c r="G82" s="2">
        <v>0.179</v>
      </c>
      <c r="H82" s="2">
        <v>15.0</v>
      </c>
      <c r="I82" s="2">
        <v>83.9</v>
      </c>
      <c r="J82" s="2">
        <v>5.24</v>
      </c>
      <c r="K82" s="2">
        <v>0.0</v>
      </c>
      <c r="L82" s="2">
        <v>4.6</v>
      </c>
      <c r="M82" s="2">
        <v>621369.58</v>
      </c>
      <c r="N82" s="2">
        <v>85493.64</v>
      </c>
    </row>
    <row r="83" ht="15.75" customHeight="1">
      <c r="A83" s="2" t="s">
        <v>42</v>
      </c>
      <c r="B83" s="3">
        <v>45689.0</v>
      </c>
      <c r="C83" s="2" t="s">
        <v>27</v>
      </c>
      <c r="D83" s="2" t="s">
        <v>28</v>
      </c>
      <c r="E83" s="2">
        <v>60628.38</v>
      </c>
      <c r="F83" s="2">
        <v>4451.0</v>
      </c>
      <c r="G83" s="2">
        <v>0.095</v>
      </c>
      <c r="H83" s="2">
        <v>10.0</v>
      </c>
      <c r="I83" s="2">
        <v>89.6</v>
      </c>
      <c r="J83" s="2">
        <v>3.17</v>
      </c>
      <c r="K83" s="2">
        <v>0.0</v>
      </c>
      <c r="L83" s="2">
        <v>4.6</v>
      </c>
      <c r="M83" s="2">
        <v>682208.01</v>
      </c>
      <c r="N83" s="2">
        <v>110318.84</v>
      </c>
    </row>
    <row r="84" ht="15.75" customHeight="1">
      <c r="A84" s="2" t="s">
        <v>42</v>
      </c>
      <c r="B84" s="3">
        <v>45717.0</v>
      </c>
      <c r="C84" s="2" t="s">
        <v>27</v>
      </c>
      <c r="D84" s="2" t="s">
        <v>28</v>
      </c>
      <c r="E84" s="2">
        <v>72731.14</v>
      </c>
      <c r="F84" s="2">
        <v>4644.0</v>
      </c>
      <c r="G84" s="2">
        <v>0.084</v>
      </c>
      <c r="H84" s="2">
        <v>15.0</v>
      </c>
      <c r="I84" s="2">
        <v>87.1</v>
      </c>
      <c r="J84" s="2">
        <v>2.66</v>
      </c>
      <c r="K84" s="2">
        <v>0.0</v>
      </c>
      <c r="L84" s="2">
        <v>4.6</v>
      </c>
      <c r="M84" s="2">
        <v>727241.86</v>
      </c>
      <c r="N84" s="2">
        <v>155810.3</v>
      </c>
    </row>
    <row r="85" ht="15.75" customHeight="1">
      <c r="A85" s="2" t="s">
        <v>42</v>
      </c>
      <c r="B85" s="3">
        <v>45748.0</v>
      </c>
      <c r="C85" s="2" t="s">
        <v>27</v>
      </c>
      <c r="D85" s="2" t="s">
        <v>28</v>
      </c>
      <c r="E85" s="2">
        <v>36475.71</v>
      </c>
      <c r="F85" s="2">
        <v>3559.0</v>
      </c>
      <c r="G85" s="2">
        <v>0.03</v>
      </c>
      <c r="H85" s="2">
        <v>8.0</v>
      </c>
      <c r="I85" s="2">
        <v>83.6</v>
      </c>
      <c r="J85" s="2">
        <v>1.41</v>
      </c>
      <c r="K85" s="2">
        <v>0.0</v>
      </c>
      <c r="L85" s="2">
        <v>4.2</v>
      </c>
      <c r="M85" s="2">
        <v>569100.78</v>
      </c>
      <c r="N85" s="2">
        <v>104808.78</v>
      </c>
    </row>
    <row r="86" ht="15.75" customHeight="1">
      <c r="A86" s="2" t="s">
        <v>43</v>
      </c>
      <c r="B86" s="3">
        <v>45658.0</v>
      </c>
      <c r="C86" s="2" t="s">
        <v>27</v>
      </c>
      <c r="D86" s="2" t="s">
        <v>18</v>
      </c>
      <c r="E86" s="2">
        <v>55388.11</v>
      </c>
      <c r="F86" s="2">
        <v>3091.0</v>
      </c>
      <c r="G86" s="2">
        <v>0.108</v>
      </c>
      <c r="H86" s="2">
        <v>7.0</v>
      </c>
      <c r="I86" s="2">
        <v>85.4</v>
      </c>
      <c r="J86" s="2">
        <v>7.34</v>
      </c>
      <c r="K86" s="2">
        <v>0.0</v>
      </c>
      <c r="L86" s="2">
        <v>4.9</v>
      </c>
      <c r="M86" s="2">
        <v>574436.29</v>
      </c>
      <c r="N86" s="2">
        <v>80271.99</v>
      </c>
    </row>
    <row r="87" ht="15.75" customHeight="1">
      <c r="A87" s="2" t="s">
        <v>43</v>
      </c>
      <c r="B87" s="3">
        <v>45689.0</v>
      </c>
      <c r="C87" s="2" t="s">
        <v>27</v>
      </c>
      <c r="D87" s="2" t="s">
        <v>18</v>
      </c>
      <c r="E87" s="2">
        <v>88443.77</v>
      </c>
      <c r="F87" s="2">
        <v>4004.0</v>
      </c>
      <c r="G87" s="2">
        <v>0.206</v>
      </c>
      <c r="H87" s="2">
        <v>11.0</v>
      </c>
      <c r="I87" s="2">
        <v>91.9</v>
      </c>
      <c r="J87" s="2">
        <v>5.95</v>
      </c>
      <c r="K87" s="2">
        <v>0.0</v>
      </c>
      <c r="L87" s="2"/>
      <c r="M87" s="2">
        <v>611766.72</v>
      </c>
      <c r="N87" s="2">
        <v>88275.61</v>
      </c>
    </row>
    <row r="88" ht="15.75" customHeight="1">
      <c r="A88" s="2" t="s">
        <v>43</v>
      </c>
      <c r="B88" s="3">
        <v>45717.0</v>
      </c>
      <c r="C88" s="2" t="s">
        <v>27</v>
      </c>
      <c r="D88" s="2" t="s">
        <v>18</v>
      </c>
      <c r="E88" s="2">
        <v>78231.91</v>
      </c>
      <c r="F88" s="2">
        <v>3788.0</v>
      </c>
      <c r="G88" s="2">
        <v>0.059</v>
      </c>
      <c r="H88" s="2">
        <v>11.0</v>
      </c>
      <c r="I88" s="2">
        <v>88.5</v>
      </c>
      <c r="J88" s="2">
        <v>15.51</v>
      </c>
      <c r="K88" s="2">
        <v>0.0</v>
      </c>
      <c r="L88" s="2">
        <v>4.3</v>
      </c>
      <c r="M88" s="2">
        <v>614596.32</v>
      </c>
      <c r="N88" s="2">
        <v>131199.41</v>
      </c>
    </row>
    <row r="89" ht="15.75" customHeight="1">
      <c r="A89" s="2" t="s">
        <v>43</v>
      </c>
      <c r="B89" s="3">
        <v>45748.0</v>
      </c>
      <c r="C89" s="2" t="s">
        <v>27</v>
      </c>
      <c r="D89" s="2" t="s">
        <v>18</v>
      </c>
      <c r="E89" s="2">
        <v>18996.32</v>
      </c>
      <c r="F89" s="2">
        <v>1260.0</v>
      </c>
      <c r="G89" s="2">
        <v>0.145</v>
      </c>
      <c r="H89" s="2">
        <v>9.0</v>
      </c>
      <c r="I89" s="2">
        <v>86.4</v>
      </c>
      <c r="J89" s="2">
        <v>4.31</v>
      </c>
      <c r="K89" s="2">
        <v>0.0</v>
      </c>
      <c r="L89" s="2">
        <v>4.6</v>
      </c>
      <c r="M89" s="2">
        <v>450711.92</v>
      </c>
      <c r="N89" s="2">
        <v>90043.76</v>
      </c>
    </row>
    <row r="90" ht="15.75" customHeight="1">
      <c r="A90" s="2" t="s">
        <v>44</v>
      </c>
      <c r="B90" s="3">
        <v>45658.0</v>
      </c>
      <c r="C90" s="2" t="s">
        <v>24</v>
      </c>
      <c r="D90" s="2" t="s">
        <v>28</v>
      </c>
      <c r="E90" s="2">
        <v>50517.94</v>
      </c>
      <c r="F90" s="2">
        <v>7024.0</v>
      </c>
      <c r="G90" s="2">
        <v>0.029</v>
      </c>
      <c r="H90" s="2">
        <v>18.0</v>
      </c>
      <c r="I90" s="2">
        <v>79.2</v>
      </c>
      <c r="J90" s="2">
        <v>6.61</v>
      </c>
      <c r="K90" s="2">
        <v>1.0</v>
      </c>
      <c r="L90" s="2">
        <v>4.1</v>
      </c>
      <c r="M90" s="2">
        <v>711213.46</v>
      </c>
      <c r="N90" s="2">
        <v>105863.26</v>
      </c>
    </row>
    <row r="91" ht="15.75" customHeight="1">
      <c r="A91" s="2" t="s">
        <v>44</v>
      </c>
      <c r="B91" s="3">
        <v>45689.0</v>
      </c>
      <c r="C91" s="2" t="s">
        <v>24</v>
      </c>
      <c r="D91" s="2" t="s">
        <v>28</v>
      </c>
      <c r="E91" s="2">
        <v>141540.29</v>
      </c>
      <c r="F91" s="2">
        <v>5400.0</v>
      </c>
      <c r="G91" s="2">
        <v>0.013</v>
      </c>
      <c r="H91" s="2">
        <v>12.0</v>
      </c>
      <c r="I91" s="2">
        <v>87.0</v>
      </c>
      <c r="J91" s="2">
        <v>4.26</v>
      </c>
      <c r="K91" s="2">
        <v>0.0</v>
      </c>
      <c r="L91" s="2">
        <v>4.5</v>
      </c>
      <c r="M91" s="2">
        <v>627171.9</v>
      </c>
      <c r="N91" s="2">
        <v>105772.75</v>
      </c>
    </row>
    <row r="92" ht="15.75" customHeight="1">
      <c r="A92" s="2" t="s">
        <v>44</v>
      </c>
      <c r="B92" s="3">
        <v>45717.0</v>
      </c>
      <c r="C92" s="2" t="s">
        <v>24</v>
      </c>
      <c r="D92" s="2" t="s">
        <v>28</v>
      </c>
      <c r="E92" s="2">
        <v>82116.19</v>
      </c>
      <c r="F92" s="2">
        <v>5988.0</v>
      </c>
      <c r="G92" s="2">
        <v>0.04</v>
      </c>
      <c r="H92" s="2">
        <v>17.0</v>
      </c>
      <c r="I92" s="2">
        <v>91.8</v>
      </c>
      <c r="J92" s="2">
        <v>5.75</v>
      </c>
      <c r="K92" s="2">
        <v>0.0</v>
      </c>
      <c r="L92" s="2">
        <v>4.7</v>
      </c>
      <c r="M92" s="2">
        <v>739852.58</v>
      </c>
      <c r="N92" s="2">
        <v>129386.43</v>
      </c>
    </row>
    <row r="93" ht="15.75" customHeight="1">
      <c r="A93" s="2" t="s">
        <v>44</v>
      </c>
      <c r="B93" s="3">
        <v>45748.0</v>
      </c>
      <c r="C93" s="2" t="s">
        <v>24</v>
      </c>
      <c r="D93" s="2" t="s">
        <v>28</v>
      </c>
      <c r="E93" s="2">
        <v>31207.51</v>
      </c>
      <c r="F93" s="2">
        <v>3701.0</v>
      </c>
      <c r="G93" s="2">
        <v>0.043</v>
      </c>
      <c r="H93" s="2">
        <v>11.0</v>
      </c>
      <c r="I93" s="2">
        <v>84.7</v>
      </c>
      <c r="J93" s="2">
        <v>0.33</v>
      </c>
      <c r="K93" s="2">
        <v>0.0</v>
      </c>
      <c r="L93" s="2">
        <v>4.3</v>
      </c>
      <c r="M93" s="2">
        <v>586307.22</v>
      </c>
      <c r="N93" s="2">
        <v>73927.85</v>
      </c>
    </row>
    <row r="94" ht="15.75" customHeight="1">
      <c r="A94" s="2" t="s">
        <v>45</v>
      </c>
      <c r="B94" s="3">
        <v>45658.0</v>
      </c>
      <c r="C94" s="2" t="s">
        <v>27</v>
      </c>
      <c r="D94" s="2" t="s">
        <v>16</v>
      </c>
      <c r="E94" s="2">
        <v>38966.59</v>
      </c>
      <c r="F94" s="2">
        <v>4509.0</v>
      </c>
      <c r="G94" s="2">
        <v>0.194</v>
      </c>
      <c r="H94" s="2">
        <v>14.0</v>
      </c>
      <c r="I94" s="2">
        <v>91.1</v>
      </c>
      <c r="J94" s="2">
        <v>2.92</v>
      </c>
      <c r="K94" s="2">
        <v>0.0</v>
      </c>
      <c r="L94" s="2">
        <v>4.6</v>
      </c>
      <c r="M94" s="2">
        <v>585937.48</v>
      </c>
      <c r="N94" s="2">
        <v>82624.2</v>
      </c>
    </row>
    <row r="95" ht="15.75" customHeight="1">
      <c r="A95" s="2" t="s">
        <v>45</v>
      </c>
      <c r="B95" s="3">
        <v>45689.0</v>
      </c>
      <c r="C95" s="2" t="s">
        <v>27</v>
      </c>
      <c r="D95" s="2" t="s">
        <v>16</v>
      </c>
      <c r="E95" s="2">
        <v>67439.3</v>
      </c>
      <c r="F95" s="2">
        <v>6477.0</v>
      </c>
      <c r="G95" s="2">
        <v>0.0</v>
      </c>
      <c r="H95" s="2">
        <v>16.0</v>
      </c>
      <c r="I95" s="2">
        <v>90.9</v>
      </c>
      <c r="J95" s="2">
        <v>1.64</v>
      </c>
      <c r="K95" s="2">
        <v>0.0</v>
      </c>
      <c r="L95" s="2">
        <v>4.5</v>
      </c>
      <c r="M95" s="2">
        <v>753473.55</v>
      </c>
      <c r="N95" s="2">
        <v>151527.22</v>
      </c>
    </row>
    <row r="96" ht="15.75" customHeight="1">
      <c r="A96" s="2" t="s">
        <v>45</v>
      </c>
      <c r="B96" s="3">
        <v>45717.0</v>
      </c>
      <c r="C96" s="2" t="s">
        <v>27</v>
      </c>
      <c r="D96" s="2" t="s">
        <v>16</v>
      </c>
      <c r="E96" s="2">
        <v>86421.88</v>
      </c>
      <c r="F96" s="2">
        <v>7970.0</v>
      </c>
      <c r="G96" s="2">
        <v>0.073</v>
      </c>
      <c r="H96" s="2">
        <v>17.0</v>
      </c>
      <c r="I96" s="2">
        <v>91.3</v>
      </c>
      <c r="J96" s="2">
        <v>0.8</v>
      </c>
      <c r="K96" s="2">
        <v>0.0</v>
      </c>
      <c r="L96" s="2">
        <v>5.0</v>
      </c>
      <c r="M96" s="2">
        <v>838250.32</v>
      </c>
      <c r="N96" s="2">
        <v>122939.34</v>
      </c>
    </row>
    <row r="97" ht="15.75" customHeight="1">
      <c r="A97" s="2" t="s">
        <v>45</v>
      </c>
      <c r="B97" s="3">
        <v>45748.0</v>
      </c>
      <c r="C97" s="2" t="s">
        <v>27</v>
      </c>
      <c r="D97" s="2" t="s">
        <v>16</v>
      </c>
      <c r="E97" s="2">
        <v>9534.65</v>
      </c>
      <c r="F97" s="2">
        <v>6057.0</v>
      </c>
      <c r="G97" s="2">
        <v>0.074</v>
      </c>
      <c r="H97" s="2">
        <v>15.0</v>
      </c>
      <c r="I97" s="2">
        <v>94.1</v>
      </c>
      <c r="J97" s="2">
        <v>5.79</v>
      </c>
      <c r="K97" s="2">
        <v>0.0</v>
      </c>
      <c r="L97" s="2">
        <v>4.5</v>
      </c>
      <c r="M97" s="2">
        <v>607898.12</v>
      </c>
      <c r="N97" s="2">
        <v>135404.85</v>
      </c>
    </row>
    <row r="98" ht="15.75" customHeight="1">
      <c r="A98" s="2" t="s">
        <v>46</v>
      </c>
      <c r="B98" s="3">
        <v>45658.0</v>
      </c>
      <c r="C98" s="2" t="s">
        <v>27</v>
      </c>
      <c r="D98" s="2" t="s">
        <v>28</v>
      </c>
      <c r="E98" s="2">
        <v>61132.07</v>
      </c>
      <c r="F98" s="2">
        <v>6394.0</v>
      </c>
      <c r="G98" s="2">
        <v>0.163</v>
      </c>
      <c r="H98" s="2">
        <v>19.0</v>
      </c>
      <c r="I98" s="2">
        <v>91.0</v>
      </c>
      <c r="J98" s="2">
        <v>19.6</v>
      </c>
      <c r="K98" s="2">
        <v>0.0</v>
      </c>
      <c r="L98" s="2">
        <v>4.4</v>
      </c>
      <c r="M98" s="2">
        <v>691113.62</v>
      </c>
      <c r="N98" s="2">
        <v>135145.44</v>
      </c>
    </row>
    <row r="99" ht="15.75" customHeight="1">
      <c r="A99" s="2" t="s">
        <v>46</v>
      </c>
      <c r="B99" s="3">
        <v>45689.0</v>
      </c>
      <c r="C99" s="2" t="s">
        <v>27</v>
      </c>
      <c r="D99" s="2" t="s">
        <v>28</v>
      </c>
      <c r="E99" s="2">
        <v>78839.39</v>
      </c>
      <c r="F99" s="2">
        <v>5150.0</v>
      </c>
      <c r="G99" s="2">
        <v>0.171</v>
      </c>
      <c r="H99" s="2">
        <v>13.0</v>
      </c>
      <c r="I99" s="2">
        <v>85.8</v>
      </c>
      <c r="J99" s="2">
        <v>7.57</v>
      </c>
      <c r="K99" s="2">
        <v>0.0</v>
      </c>
      <c r="L99" s="2">
        <v>4.3</v>
      </c>
      <c r="M99" s="2">
        <v>735509.4</v>
      </c>
      <c r="N99" s="2">
        <v>83895.96</v>
      </c>
    </row>
    <row r="100" ht="15.75" customHeight="1">
      <c r="A100" s="2" t="s">
        <v>46</v>
      </c>
      <c r="B100" s="3">
        <v>45717.0</v>
      </c>
      <c r="C100" s="2" t="s">
        <v>27</v>
      </c>
      <c r="D100" s="2" t="s">
        <v>28</v>
      </c>
      <c r="E100" s="2">
        <v>38752.8</v>
      </c>
      <c r="F100" s="2">
        <v>4712.0</v>
      </c>
      <c r="G100" s="2">
        <v>0.075</v>
      </c>
      <c r="H100" s="2">
        <v>15.0</v>
      </c>
      <c r="I100" s="2">
        <v>89.7</v>
      </c>
      <c r="J100" s="2"/>
      <c r="K100" s="2">
        <v>0.0</v>
      </c>
      <c r="L100" s="2">
        <v>4.3</v>
      </c>
      <c r="M100" s="2">
        <v>605775.33</v>
      </c>
      <c r="N100" s="2">
        <v>107194.6</v>
      </c>
    </row>
    <row r="101" ht="15.75" customHeight="1">
      <c r="A101" s="2" t="s">
        <v>46</v>
      </c>
      <c r="B101" s="3">
        <v>45748.0</v>
      </c>
      <c r="C101" s="2" t="s">
        <v>27</v>
      </c>
      <c r="D101" s="2" t="s">
        <v>28</v>
      </c>
      <c r="E101" s="2">
        <v>55101.1</v>
      </c>
      <c r="F101" s="2">
        <v>5281.0</v>
      </c>
      <c r="G101" s="2">
        <v>0.189</v>
      </c>
      <c r="H101" s="2">
        <v>11.0</v>
      </c>
      <c r="I101" s="2">
        <v>91.0</v>
      </c>
      <c r="J101" s="2">
        <v>2.7</v>
      </c>
      <c r="K101" s="2">
        <v>0.0</v>
      </c>
      <c r="L101" s="2">
        <v>4.4</v>
      </c>
      <c r="M101" s="2">
        <v>675177.68</v>
      </c>
      <c r="N101" s="2">
        <v>105628.68</v>
      </c>
    </row>
    <row r="102" ht="15.75" customHeight="1">
      <c r="A102" s="2" t="s">
        <v>47</v>
      </c>
      <c r="B102" s="3">
        <v>45658.0</v>
      </c>
      <c r="C102" s="2" t="s">
        <v>15</v>
      </c>
      <c r="D102" s="2" t="s">
        <v>28</v>
      </c>
      <c r="E102" s="2">
        <v>53084.76</v>
      </c>
      <c r="F102" s="2">
        <v>3642.0</v>
      </c>
      <c r="G102" s="2">
        <v>0.15</v>
      </c>
      <c r="H102" s="2">
        <v>12.0</v>
      </c>
      <c r="I102" s="2">
        <v>91.4</v>
      </c>
      <c r="J102" s="2">
        <v>0.2</v>
      </c>
      <c r="K102" s="2">
        <v>0.0</v>
      </c>
      <c r="L102" s="2">
        <v>4.4</v>
      </c>
      <c r="M102" s="2">
        <v>635181.35</v>
      </c>
      <c r="N102" s="2">
        <v>83341.25</v>
      </c>
    </row>
    <row r="103" ht="15.75" customHeight="1">
      <c r="A103" s="2" t="s">
        <v>47</v>
      </c>
      <c r="B103" s="3">
        <v>45689.0</v>
      </c>
      <c r="C103" s="2" t="s">
        <v>15</v>
      </c>
      <c r="D103" s="2" t="s">
        <v>28</v>
      </c>
      <c r="E103" s="2">
        <v>63101.59</v>
      </c>
      <c r="F103" s="2">
        <v>4373.0</v>
      </c>
      <c r="G103" s="2">
        <v>0.173</v>
      </c>
      <c r="H103" s="2">
        <v>14.0</v>
      </c>
      <c r="I103" s="2">
        <v>90.4</v>
      </c>
      <c r="J103" s="2">
        <v>7.87</v>
      </c>
      <c r="K103" s="2">
        <v>0.0</v>
      </c>
      <c r="L103" s="2">
        <v>4.7</v>
      </c>
      <c r="M103" s="2">
        <v>586626.94</v>
      </c>
      <c r="N103" s="2">
        <v>86498.55</v>
      </c>
    </row>
    <row r="104" ht="15.75" customHeight="1">
      <c r="A104" s="2" t="s">
        <v>47</v>
      </c>
      <c r="B104" s="3">
        <v>45717.0</v>
      </c>
      <c r="C104" s="2" t="s">
        <v>15</v>
      </c>
      <c r="D104" s="2" t="s">
        <v>28</v>
      </c>
      <c r="E104" s="2">
        <v>90084.4</v>
      </c>
      <c r="F104" s="2">
        <v>6832.0</v>
      </c>
      <c r="G104" s="2">
        <v>0.185</v>
      </c>
      <c r="H104" s="2">
        <v>14.0</v>
      </c>
      <c r="I104" s="2">
        <v>80.5</v>
      </c>
      <c r="J104" s="2">
        <v>0.77</v>
      </c>
      <c r="K104" s="2">
        <v>1.0</v>
      </c>
      <c r="L104" s="2">
        <v>4.4</v>
      </c>
      <c r="M104" s="2">
        <v>740102.64</v>
      </c>
      <c r="N104" s="2">
        <v>114299.07</v>
      </c>
    </row>
    <row r="105" ht="15.75" customHeight="1">
      <c r="A105" s="2" t="s">
        <v>47</v>
      </c>
      <c r="B105" s="3">
        <v>45748.0</v>
      </c>
      <c r="C105" s="2" t="s">
        <v>15</v>
      </c>
      <c r="D105" s="2" t="s">
        <v>28</v>
      </c>
      <c r="E105" s="2">
        <v>32266.64</v>
      </c>
      <c r="F105" s="2">
        <v>2414.0</v>
      </c>
      <c r="G105" s="2">
        <v>0.08</v>
      </c>
      <c r="H105" s="2">
        <v>7.0</v>
      </c>
      <c r="I105" s="2">
        <v>92.1</v>
      </c>
      <c r="J105" s="2">
        <v>1.48</v>
      </c>
      <c r="K105" s="2">
        <v>0.0</v>
      </c>
      <c r="L105" s="2">
        <v>5.0</v>
      </c>
      <c r="M105" s="2">
        <v>625514.04</v>
      </c>
      <c r="N105" s="2">
        <v>120685.08</v>
      </c>
    </row>
    <row r="106" ht="15.75" customHeight="1">
      <c r="A106" s="2" t="s">
        <v>48</v>
      </c>
      <c r="B106" s="3">
        <v>45658.0</v>
      </c>
      <c r="C106" s="2" t="s">
        <v>27</v>
      </c>
      <c r="D106" s="2" t="s">
        <v>18</v>
      </c>
      <c r="E106" s="2">
        <v>57919.07</v>
      </c>
      <c r="F106" s="2">
        <v>7374.0</v>
      </c>
      <c r="G106" s="2">
        <v>0.103</v>
      </c>
      <c r="H106" s="2">
        <v>21.0</v>
      </c>
      <c r="I106" s="2">
        <v>82.3</v>
      </c>
      <c r="J106" s="2">
        <v>2.87</v>
      </c>
      <c r="K106" s="2">
        <v>0.0</v>
      </c>
      <c r="L106" s="2">
        <v>2.9</v>
      </c>
      <c r="M106" s="2">
        <v>727227.2</v>
      </c>
      <c r="N106" s="2">
        <v>121292.01</v>
      </c>
    </row>
    <row r="107" ht="15.75" customHeight="1">
      <c r="A107" s="2" t="s">
        <v>48</v>
      </c>
      <c r="B107" s="3">
        <v>45689.0</v>
      </c>
      <c r="C107" s="2" t="s">
        <v>27</v>
      </c>
      <c r="D107" s="2" t="s">
        <v>18</v>
      </c>
      <c r="E107" s="2">
        <v>74679.35</v>
      </c>
      <c r="F107" s="2">
        <v>8739.0</v>
      </c>
      <c r="G107" s="2">
        <v>0.056</v>
      </c>
      <c r="H107" s="2">
        <v>21.0</v>
      </c>
      <c r="I107" s="2">
        <v>91.8</v>
      </c>
      <c r="J107" s="2">
        <v>2.83</v>
      </c>
      <c r="K107" s="2">
        <v>0.0</v>
      </c>
      <c r="L107" s="2">
        <v>3.0</v>
      </c>
      <c r="M107" s="2">
        <v>783797.89</v>
      </c>
      <c r="N107" s="2">
        <v>157620.7</v>
      </c>
    </row>
    <row r="108" ht="15.75" customHeight="1">
      <c r="A108" s="2" t="s">
        <v>48</v>
      </c>
      <c r="B108" s="3">
        <v>45717.0</v>
      </c>
      <c r="C108" s="2" t="s">
        <v>27</v>
      </c>
      <c r="D108" s="2" t="s">
        <v>18</v>
      </c>
      <c r="E108" s="2">
        <v>64294.23</v>
      </c>
      <c r="F108" s="2">
        <v>6992.0</v>
      </c>
      <c r="G108" s="2">
        <v>0.133</v>
      </c>
      <c r="H108" s="2">
        <v>14.0</v>
      </c>
      <c r="I108" s="2">
        <v>94.1</v>
      </c>
      <c r="J108" s="2">
        <v>0.25</v>
      </c>
      <c r="K108" s="2">
        <v>0.0</v>
      </c>
      <c r="L108" s="2">
        <v>3.0</v>
      </c>
      <c r="M108" s="2">
        <v>795153.84</v>
      </c>
      <c r="N108" s="2">
        <v>143194.21</v>
      </c>
    </row>
    <row r="109" ht="15.75" customHeight="1">
      <c r="A109" s="2" t="s">
        <v>48</v>
      </c>
      <c r="B109" s="3">
        <v>45748.0</v>
      </c>
      <c r="C109" s="2" t="s">
        <v>27</v>
      </c>
      <c r="D109" s="2" t="s">
        <v>18</v>
      </c>
      <c r="E109" s="2">
        <v>31042.03</v>
      </c>
      <c r="F109" s="2">
        <v>7107.0</v>
      </c>
      <c r="G109" s="2">
        <v>0.051</v>
      </c>
      <c r="H109" s="2">
        <v>15.0</v>
      </c>
      <c r="I109" s="2">
        <v>87.0</v>
      </c>
      <c r="J109" s="2">
        <v>13.33</v>
      </c>
      <c r="K109" s="2">
        <v>0.0</v>
      </c>
      <c r="L109" s="2">
        <v>3.2</v>
      </c>
      <c r="M109" s="2">
        <v>665594.94</v>
      </c>
      <c r="N109" s="2">
        <v>127597.34</v>
      </c>
    </row>
    <row r="110" ht="15.75" customHeight="1">
      <c r="A110" s="2" t="s">
        <v>49</v>
      </c>
      <c r="B110" s="3">
        <v>45658.0</v>
      </c>
      <c r="C110" s="2" t="s">
        <v>15</v>
      </c>
      <c r="D110" s="2" t="s">
        <v>28</v>
      </c>
      <c r="E110" s="2">
        <v>75265.02</v>
      </c>
      <c r="F110" s="2">
        <v>6975.0</v>
      </c>
      <c r="G110" s="2">
        <v>0.157</v>
      </c>
      <c r="H110" s="2">
        <v>20.0</v>
      </c>
      <c r="I110" s="2">
        <v>73.8</v>
      </c>
      <c r="J110" s="2">
        <v>6.35</v>
      </c>
      <c r="K110" s="2">
        <v>1.0</v>
      </c>
      <c r="L110" s="2">
        <v>3.8</v>
      </c>
      <c r="M110" s="2">
        <v>709478.39</v>
      </c>
      <c r="N110" s="2">
        <v>71294.27</v>
      </c>
    </row>
    <row r="111" ht="15.75" customHeight="1">
      <c r="A111" s="2" t="s">
        <v>49</v>
      </c>
      <c r="B111" s="3">
        <v>45689.0</v>
      </c>
      <c r="C111" s="2" t="s">
        <v>15</v>
      </c>
      <c r="D111" s="2" t="s">
        <v>28</v>
      </c>
      <c r="E111" s="2">
        <v>69411.7</v>
      </c>
      <c r="F111" s="2">
        <v>5493.0</v>
      </c>
      <c r="G111" s="2">
        <v>0.292</v>
      </c>
      <c r="H111" s="2">
        <v>13.0</v>
      </c>
      <c r="I111" s="2">
        <v>86.5</v>
      </c>
      <c r="J111" s="2">
        <v>6.69</v>
      </c>
      <c r="K111" s="2">
        <v>0.0</v>
      </c>
      <c r="L111" s="2">
        <v>3.8</v>
      </c>
      <c r="M111" s="2">
        <v>664162.49</v>
      </c>
      <c r="N111" s="2">
        <v>98291.06</v>
      </c>
    </row>
    <row r="112" ht="15.75" customHeight="1">
      <c r="A112" s="2" t="s">
        <v>49</v>
      </c>
      <c r="B112" s="3">
        <v>45717.0</v>
      </c>
      <c r="C112" s="2" t="s">
        <v>15</v>
      </c>
      <c r="D112" s="2" t="s">
        <v>28</v>
      </c>
      <c r="E112" s="2">
        <v>51056.15</v>
      </c>
      <c r="F112" s="2">
        <v>5686.0</v>
      </c>
      <c r="G112" s="2">
        <v>0.089</v>
      </c>
      <c r="H112" s="2">
        <v>13.0</v>
      </c>
      <c r="I112" s="2">
        <v>89.9</v>
      </c>
      <c r="J112" s="2">
        <v>1.28</v>
      </c>
      <c r="K112" s="2">
        <v>0.0</v>
      </c>
      <c r="L112" s="2">
        <v>4.2</v>
      </c>
      <c r="M112" s="2">
        <v>633494.21</v>
      </c>
      <c r="N112" s="2">
        <v>105739.47</v>
      </c>
    </row>
    <row r="113" ht="15.75" customHeight="1">
      <c r="A113" s="2" t="s">
        <v>49</v>
      </c>
      <c r="B113" s="3">
        <v>45748.0</v>
      </c>
      <c r="C113" s="2" t="s">
        <v>15</v>
      </c>
      <c r="D113" s="2" t="s">
        <v>28</v>
      </c>
      <c r="E113" s="2">
        <v>52758.01</v>
      </c>
      <c r="F113" s="2">
        <v>4063.0</v>
      </c>
      <c r="G113" s="2">
        <v>0.057</v>
      </c>
      <c r="H113" s="2">
        <v>12.0</v>
      </c>
      <c r="I113" s="2">
        <v>91.7</v>
      </c>
      <c r="J113" s="2">
        <v>0.92</v>
      </c>
      <c r="K113" s="2">
        <v>0.0</v>
      </c>
      <c r="L113" s="2">
        <v>3.5</v>
      </c>
      <c r="M113" s="2">
        <v>713611.16</v>
      </c>
      <c r="N113" s="2">
        <v>129717.18</v>
      </c>
    </row>
    <row r="114" ht="15.75" customHeight="1">
      <c r="A114" s="2" t="s">
        <v>50</v>
      </c>
      <c r="B114" s="3">
        <v>45658.0</v>
      </c>
      <c r="C114" s="2" t="s">
        <v>27</v>
      </c>
      <c r="D114" s="2" t="s">
        <v>28</v>
      </c>
      <c r="E114" s="2">
        <v>61426.04</v>
      </c>
      <c r="F114" s="2">
        <v>8966.0</v>
      </c>
      <c r="G114" s="2">
        <v>0.173</v>
      </c>
      <c r="H114" s="2">
        <v>22.0</v>
      </c>
      <c r="I114" s="2">
        <v>76.4</v>
      </c>
      <c r="J114" s="2">
        <v>1.05</v>
      </c>
      <c r="K114" s="2">
        <v>0.0</v>
      </c>
      <c r="L114" s="2">
        <v>3.1</v>
      </c>
      <c r="M114" s="2">
        <v>778397.97</v>
      </c>
      <c r="N114" s="2">
        <v>120044.41</v>
      </c>
    </row>
    <row r="115" ht="15.75" customHeight="1">
      <c r="A115" s="2" t="s">
        <v>50</v>
      </c>
      <c r="B115" s="3">
        <v>45689.0</v>
      </c>
      <c r="C115" s="2" t="s">
        <v>27</v>
      </c>
      <c r="D115" s="2" t="s">
        <v>28</v>
      </c>
      <c r="E115" s="2">
        <v>80176.34</v>
      </c>
      <c r="F115" s="2">
        <v>9489.0</v>
      </c>
      <c r="G115" s="2">
        <v>0.142</v>
      </c>
      <c r="H115" s="2">
        <v>22.0</v>
      </c>
      <c r="I115" s="2">
        <v>94.3</v>
      </c>
      <c r="J115" s="2">
        <v>2.67</v>
      </c>
      <c r="K115" s="2">
        <v>0.0</v>
      </c>
      <c r="L115" s="2">
        <v>3.5</v>
      </c>
      <c r="M115" s="2">
        <v>873380.02</v>
      </c>
      <c r="N115" s="2">
        <v>149734.76</v>
      </c>
    </row>
    <row r="116" ht="15.75" customHeight="1">
      <c r="A116" s="2" t="s">
        <v>50</v>
      </c>
      <c r="B116" s="3">
        <v>45717.0</v>
      </c>
      <c r="C116" s="2" t="s">
        <v>27</v>
      </c>
      <c r="D116" s="2" t="s">
        <v>28</v>
      </c>
      <c r="E116" s="2">
        <v>33605.18</v>
      </c>
      <c r="F116" s="2">
        <v>9225.0</v>
      </c>
      <c r="G116" s="2">
        <v>0.159</v>
      </c>
      <c r="H116" s="2">
        <v>23.0</v>
      </c>
      <c r="I116" s="2">
        <v>88.4</v>
      </c>
      <c r="J116" s="2">
        <v>5.91</v>
      </c>
      <c r="K116" s="2">
        <v>0.0</v>
      </c>
      <c r="L116" s="2">
        <v>2.8</v>
      </c>
      <c r="M116" s="2">
        <v>697287.9</v>
      </c>
      <c r="N116" s="2">
        <v>128208.33</v>
      </c>
    </row>
    <row r="117" ht="15.75" customHeight="1">
      <c r="A117" s="2" t="s">
        <v>50</v>
      </c>
      <c r="B117" s="3">
        <v>45748.0</v>
      </c>
      <c r="C117" s="2" t="s">
        <v>27</v>
      </c>
      <c r="D117" s="2" t="s">
        <v>28</v>
      </c>
      <c r="E117" s="2">
        <v>25990.54</v>
      </c>
      <c r="F117" s="2">
        <v>9249.0</v>
      </c>
      <c r="G117" s="2">
        <v>0.139</v>
      </c>
      <c r="H117" s="2">
        <v>23.0</v>
      </c>
      <c r="I117" s="2">
        <v>92.5</v>
      </c>
      <c r="J117" s="2">
        <v>6.37</v>
      </c>
      <c r="K117" s="2">
        <v>0.0</v>
      </c>
      <c r="L117" s="2">
        <v>3.3</v>
      </c>
      <c r="M117" s="2">
        <v>718074.79</v>
      </c>
      <c r="N117" s="2">
        <v>115819.87</v>
      </c>
    </row>
    <row r="118" ht="15.75" customHeight="1">
      <c r="A118" s="2" t="s">
        <v>51</v>
      </c>
      <c r="B118" s="3">
        <v>45658.0</v>
      </c>
      <c r="C118" s="2" t="s">
        <v>27</v>
      </c>
      <c r="D118" s="2" t="s">
        <v>16</v>
      </c>
      <c r="E118" s="2">
        <v>43685.14</v>
      </c>
      <c r="F118" s="2">
        <v>7821.0</v>
      </c>
      <c r="G118" s="2">
        <v>0.19</v>
      </c>
      <c r="H118" s="2">
        <v>17.0</v>
      </c>
      <c r="I118" s="2">
        <v>91.0</v>
      </c>
      <c r="J118" s="2">
        <v>2.49</v>
      </c>
      <c r="K118" s="2">
        <v>1.0</v>
      </c>
      <c r="L118" s="2">
        <v>4.7</v>
      </c>
      <c r="M118" s="2">
        <v>714942.43</v>
      </c>
      <c r="N118" s="2">
        <v>94697.71</v>
      </c>
    </row>
    <row r="119" ht="15.75" customHeight="1">
      <c r="A119" s="2" t="s">
        <v>51</v>
      </c>
      <c r="B119" s="3">
        <v>45689.0</v>
      </c>
      <c r="C119" s="2" t="s">
        <v>27</v>
      </c>
      <c r="D119" s="2" t="s">
        <v>16</v>
      </c>
      <c r="E119" s="2">
        <v>57360.01</v>
      </c>
      <c r="F119" s="2">
        <v>8434.0</v>
      </c>
      <c r="G119" s="2">
        <v>0.151</v>
      </c>
      <c r="H119" s="2">
        <v>19.0</v>
      </c>
      <c r="I119" s="2">
        <v>84.1</v>
      </c>
      <c r="J119" s="2">
        <v>1.56</v>
      </c>
      <c r="K119" s="2">
        <v>0.0</v>
      </c>
      <c r="L119" s="2">
        <v>4.7</v>
      </c>
      <c r="M119" s="2">
        <v>820519.04</v>
      </c>
      <c r="N119" s="2">
        <v>99035.88</v>
      </c>
    </row>
    <row r="120" ht="15.75" customHeight="1">
      <c r="A120" s="2" t="s">
        <v>51</v>
      </c>
      <c r="B120" s="3">
        <v>45717.0</v>
      </c>
      <c r="C120" s="2" t="s">
        <v>27</v>
      </c>
      <c r="D120" s="2" t="s">
        <v>16</v>
      </c>
      <c r="E120" s="2">
        <v>42415.47</v>
      </c>
      <c r="F120" s="2">
        <v>8512.0</v>
      </c>
      <c r="G120" s="2">
        <v>0.133</v>
      </c>
      <c r="H120" s="2">
        <v>18.0</v>
      </c>
      <c r="I120" s="2">
        <v>96.8</v>
      </c>
      <c r="J120" s="2">
        <v>14.95</v>
      </c>
      <c r="K120" s="2">
        <v>0.0</v>
      </c>
      <c r="L120" s="2">
        <v>4.6</v>
      </c>
      <c r="M120" s="2">
        <v>684217.32</v>
      </c>
      <c r="N120" s="2">
        <v>136217.19</v>
      </c>
    </row>
    <row r="121" ht="15.75" customHeight="1">
      <c r="A121" s="2" t="s">
        <v>51</v>
      </c>
      <c r="B121" s="3">
        <v>45748.0</v>
      </c>
      <c r="C121" s="2" t="s">
        <v>27</v>
      </c>
      <c r="D121" s="2" t="s">
        <v>16</v>
      </c>
      <c r="E121" s="2">
        <v>54968.98</v>
      </c>
      <c r="F121" s="2">
        <v>7816.0</v>
      </c>
      <c r="G121" s="2">
        <v>0.232</v>
      </c>
      <c r="H121" s="2">
        <v>19.0</v>
      </c>
      <c r="I121" s="2">
        <v>95.7</v>
      </c>
      <c r="J121" s="2">
        <v>7.85</v>
      </c>
      <c r="K121" s="2">
        <v>0.0</v>
      </c>
      <c r="L121" s="2">
        <v>4.7</v>
      </c>
      <c r="M121" s="2">
        <v>735480.19</v>
      </c>
      <c r="N121" s="2">
        <v>88342.11</v>
      </c>
    </row>
    <row r="122" ht="15.75" customHeight="1">
      <c r="A122" s="2" t="s">
        <v>52</v>
      </c>
      <c r="B122" s="3">
        <v>45658.0</v>
      </c>
      <c r="C122" s="2" t="s">
        <v>20</v>
      </c>
      <c r="D122" s="2" t="s">
        <v>18</v>
      </c>
      <c r="E122" s="2">
        <v>43896.13</v>
      </c>
      <c r="F122" s="2">
        <v>3853.0</v>
      </c>
      <c r="G122" s="2">
        <v>0.088</v>
      </c>
      <c r="H122" s="2">
        <v>13.0</v>
      </c>
      <c r="I122" s="2">
        <v>83.0</v>
      </c>
      <c r="J122" s="2">
        <v>6.8</v>
      </c>
      <c r="K122" s="2">
        <v>0.0</v>
      </c>
      <c r="L122" s="2">
        <v>4.4</v>
      </c>
      <c r="M122" s="2">
        <v>509484.81</v>
      </c>
      <c r="N122" s="2">
        <v>85742.36</v>
      </c>
    </row>
    <row r="123" ht="15.75" customHeight="1">
      <c r="A123" s="2" t="s">
        <v>52</v>
      </c>
      <c r="B123" s="3">
        <v>45689.0</v>
      </c>
      <c r="C123" s="2" t="s">
        <v>20</v>
      </c>
      <c r="D123" s="2" t="s">
        <v>18</v>
      </c>
      <c r="E123" s="2">
        <v>83044.17</v>
      </c>
      <c r="F123" s="2">
        <v>3694.0</v>
      </c>
      <c r="G123" s="2">
        <v>0.0</v>
      </c>
      <c r="H123" s="2">
        <v>14.0</v>
      </c>
      <c r="I123" s="2">
        <v>89.4</v>
      </c>
      <c r="J123" s="2">
        <v>2.2</v>
      </c>
      <c r="K123" s="2">
        <v>0.0</v>
      </c>
      <c r="L123" s="2">
        <v>3.7</v>
      </c>
      <c r="M123" s="2">
        <v>654317.09</v>
      </c>
      <c r="N123" s="2">
        <v>121446.89</v>
      </c>
    </row>
    <row r="124" ht="15.75" customHeight="1">
      <c r="A124" s="2" t="s">
        <v>52</v>
      </c>
      <c r="B124" s="3">
        <v>45717.0</v>
      </c>
      <c r="C124" s="2" t="s">
        <v>20</v>
      </c>
      <c r="D124" s="2" t="s">
        <v>18</v>
      </c>
      <c r="E124" s="2">
        <v>48396.13</v>
      </c>
      <c r="F124" s="2">
        <v>4423.0</v>
      </c>
      <c r="G124" s="2">
        <v>0.069</v>
      </c>
      <c r="H124" s="2">
        <v>15.0</v>
      </c>
      <c r="I124" s="2">
        <v>85.7</v>
      </c>
      <c r="J124" s="2">
        <v>1.88</v>
      </c>
      <c r="K124" s="2">
        <v>0.0</v>
      </c>
      <c r="L124" s="2">
        <v>3.9</v>
      </c>
      <c r="M124" s="2">
        <v>557487.26</v>
      </c>
      <c r="N124" s="2">
        <v>76432.19</v>
      </c>
    </row>
    <row r="125" ht="15.75" customHeight="1">
      <c r="A125" s="2" t="s">
        <v>52</v>
      </c>
      <c r="B125" s="3">
        <v>45748.0</v>
      </c>
      <c r="C125" s="2" t="s">
        <v>20</v>
      </c>
      <c r="D125" s="2" t="s">
        <v>18</v>
      </c>
      <c r="E125" s="2">
        <v>19063.48</v>
      </c>
      <c r="F125" s="2">
        <v>1906.0</v>
      </c>
      <c r="G125" s="2">
        <v>0.216</v>
      </c>
      <c r="H125" s="2">
        <v>10.0</v>
      </c>
      <c r="I125" s="2">
        <v>97.8</v>
      </c>
      <c r="J125" s="2">
        <v>15.79</v>
      </c>
      <c r="K125" s="2">
        <v>0.0</v>
      </c>
      <c r="L125" s="2">
        <v>4.4</v>
      </c>
      <c r="M125" s="2">
        <v>441275.42</v>
      </c>
      <c r="N125" s="2">
        <v>58234.87</v>
      </c>
    </row>
    <row r="126" ht="15.75" customHeight="1">
      <c r="A126" s="2" t="s">
        <v>53</v>
      </c>
      <c r="B126" s="3">
        <v>45658.0</v>
      </c>
      <c r="C126" s="2" t="s">
        <v>24</v>
      </c>
      <c r="D126" s="2" t="s">
        <v>18</v>
      </c>
      <c r="E126" s="2">
        <v>61541.21</v>
      </c>
      <c r="F126" s="2">
        <v>10396.0</v>
      </c>
      <c r="G126" s="2">
        <v>0.123</v>
      </c>
      <c r="H126" s="2">
        <v>25.0</v>
      </c>
      <c r="I126" s="2">
        <v>88.1</v>
      </c>
      <c r="J126" s="2">
        <v>2.34</v>
      </c>
      <c r="K126" s="2">
        <v>1.0</v>
      </c>
      <c r="L126" s="2">
        <v>4.8</v>
      </c>
      <c r="M126" s="2">
        <v>914544.17</v>
      </c>
      <c r="N126" s="2">
        <v>79831.73</v>
      </c>
    </row>
    <row r="127" ht="15.75" customHeight="1">
      <c r="A127" s="2" t="s">
        <v>53</v>
      </c>
      <c r="B127" s="3">
        <v>45689.0</v>
      </c>
      <c r="C127" s="2" t="s">
        <v>24</v>
      </c>
      <c r="D127" s="2" t="s">
        <v>18</v>
      </c>
      <c r="E127" s="2">
        <v>44747.0</v>
      </c>
      <c r="F127" s="2">
        <v>11076.0</v>
      </c>
      <c r="G127" s="2">
        <v>0.176</v>
      </c>
      <c r="H127" s="2">
        <v>27.0</v>
      </c>
      <c r="I127" s="2">
        <v>98.3</v>
      </c>
      <c r="J127" s="2">
        <v>0.54</v>
      </c>
      <c r="K127" s="2">
        <v>0.0</v>
      </c>
      <c r="L127" s="2">
        <v>4.4</v>
      </c>
      <c r="M127" s="2">
        <v>842439.67</v>
      </c>
      <c r="N127" s="2">
        <v>169983.63</v>
      </c>
    </row>
    <row r="128" ht="15.75" customHeight="1">
      <c r="A128" s="2" t="s">
        <v>53</v>
      </c>
      <c r="B128" s="3">
        <v>45717.0</v>
      </c>
      <c r="C128" s="2" t="s">
        <v>24</v>
      </c>
      <c r="D128" s="2" t="s">
        <v>18</v>
      </c>
      <c r="E128" s="2">
        <v>56517.9</v>
      </c>
      <c r="F128" s="2">
        <v>9574.0</v>
      </c>
      <c r="G128" s="2">
        <v>0.204</v>
      </c>
      <c r="H128" s="2">
        <v>20.0</v>
      </c>
      <c r="I128" s="2">
        <v>88.2</v>
      </c>
      <c r="J128" s="2">
        <v>5.37</v>
      </c>
      <c r="K128" s="2">
        <v>1.0</v>
      </c>
      <c r="L128" s="2">
        <v>4.9</v>
      </c>
      <c r="M128" s="2">
        <v>842157.92</v>
      </c>
      <c r="N128" s="2">
        <v>107348.22</v>
      </c>
    </row>
    <row r="129" ht="15.75" customHeight="1">
      <c r="A129" s="2" t="s">
        <v>53</v>
      </c>
      <c r="B129" s="3">
        <v>45748.0</v>
      </c>
      <c r="C129" s="2" t="s">
        <v>24</v>
      </c>
      <c r="D129" s="2" t="s">
        <v>18</v>
      </c>
      <c r="E129" s="2">
        <v>37828.5</v>
      </c>
      <c r="F129" s="2">
        <v>8221.0</v>
      </c>
      <c r="G129" s="2">
        <v>0.096</v>
      </c>
      <c r="H129" s="2">
        <v>19.0</v>
      </c>
      <c r="I129" s="2">
        <v>81.5</v>
      </c>
      <c r="J129" s="2">
        <v>3.19</v>
      </c>
      <c r="K129" s="2">
        <v>0.0</v>
      </c>
      <c r="L129" s="2">
        <v>4.8</v>
      </c>
      <c r="M129" s="2">
        <v>697155.3</v>
      </c>
      <c r="N129" s="2">
        <v>136408.54</v>
      </c>
    </row>
    <row r="130" ht="15.75" customHeight="1">
      <c r="A130" s="2" t="s">
        <v>54</v>
      </c>
      <c r="B130" s="3">
        <v>45658.0</v>
      </c>
      <c r="C130" s="2" t="s">
        <v>15</v>
      </c>
      <c r="D130" s="2" t="s">
        <v>18</v>
      </c>
      <c r="E130" s="2">
        <v>66250.53</v>
      </c>
      <c r="F130" s="2">
        <v>10618.0</v>
      </c>
      <c r="G130" s="2">
        <v>0.142</v>
      </c>
      <c r="H130" s="2">
        <v>27.0</v>
      </c>
      <c r="I130" s="2">
        <v>88.3</v>
      </c>
      <c r="J130" s="2">
        <v>1.1</v>
      </c>
      <c r="K130" s="2">
        <v>1.0</v>
      </c>
      <c r="L130" s="2">
        <v>4.4</v>
      </c>
      <c r="M130" s="2">
        <v>849018.3</v>
      </c>
      <c r="N130" s="2">
        <v>149035.13</v>
      </c>
    </row>
    <row r="131" ht="15.75" customHeight="1">
      <c r="A131" s="2" t="s">
        <v>54</v>
      </c>
      <c r="B131" s="3">
        <v>45689.0</v>
      </c>
      <c r="C131" s="2" t="s">
        <v>15</v>
      </c>
      <c r="D131" s="2" t="s">
        <v>18</v>
      </c>
      <c r="E131" s="2">
        <v>68410.93</v>
      </c>
      <c r="F131" s="2">
        <v>10596.0</v>
      </c>
      <c r="G131" s="2">
        <v>0.207</v>
      </c>
      <c r="H131" s="2">
        <v>25.0</v>
      </c>
      <c r="I131" s="2">
        <v>81.2</v>
      </c>
      <c r="J131" s="2">
        <v>0.21</v>
      </c>
      <c r="K131" s="2">
        <v>0.0</v>
      </c>
      <c r="L131" s="2">
        <v>4.0</v>
      </c>
      <c r="M131" s="2">
        <v>801830.35</v>
      </c>
      <c r="N131" s="2">
        <v>114875.32</v>
      </c>
    </row>
    <row r="132" ht="15.75" customHeight="1">
      <c r="A132" s="2" t="s">
        <v>54</v>
      </c>
      <c r="B132" s="3">
        <v>45717.0</v>
      </c>
      <c r="C132" s="2" t="s">
        <v>15</v>
      </c>
      <c r="D132" s="2" t="s">
        <v>18</v>
      </c>
      <c r="E132" s="2">
        <v>50735.63</v>
      </c>
      <c r="F132" s="2">
        <v>9619.0</v>
      </c>
      <c r="G132" s="2">
        <v>0.144</v>
      </c>
      <c r="H132" s="2">
        <v>19.0</v>
      </c>
      <c r="I132" s="2">
        <v>93.8</v>
      </c>
      <c r="J132" s="2">
        <v>5.12</v>
      </c>
      <c r="K132" s="2">
        <v>1.0</v>
      </c>
      <c r="L132" s="2">
        <v>4.5</v>
      </c>
      <c r="M132" s="2">
        <v>725235.28</v>
      </c>
      <c r="N132" s="2">
        <v>121632.24</v>
      </c>
    </row>
    <row r="133" ht="15.75" customHeight="1">
      <c r="A133" s="2" t="s">
        <v>54</v>
      </c>
      <c r="B133" s="3">
        <v>45748.0</v>
      </c>
      <c r="C133" s="2" t="s">
        <v>15</v>
      </c>
      <c r="D133" s="2" t="s">
        <v>18</v>
      </c>
      <c r="E133" s="2">
        <v>66455.8</v>
      </c>
      <c r="F133" s="2">
        <v>10836.0</v>
      </c>
      <c r="G133" s="2">
        <v>0.089</v>
      </c>
      <c r="H133" s="2">
        <v>25.0</v>
      </c>
      <c r="I133" s="2">
        <v>85.0</v>
      </c>
      <c r="J133" s="2">
        <v>9.77</v>
      </c>
      <c r="K133" s="2">
        <v>0.0</v>
      </c>
      <c r="L133" s="2">
        <v>4.5</v>
      </c>
      <c r="M133" s="2">
        <v>811452.72</v>
      </c>
      <c r="N133" s="2">
        <v>131325.67</v>
      </c>
    </row>
    <row r="134" ht="15.75" customHeight="1">
      <c r="A134" s="2" t="s">
        <v>55</v>
      </c>
      <c r="B134" s="3">
        <v>45658.0</v>
      </c>
      <c r="C134" s="2" t="s">
        <v>20</v>
      </c>
      <c r="D134" s="2" t="s">
        <v>18</v>
      </c>
      <c r="E134" s="2">
        <v>70276.28</v>
      </c>
      <c r="F134" s="2">
        <v>3043.0</v>
      </c>
      <c r="G134" s="2">
        <v>0.079</v>
      </c>
      <c r="H134" s="2">
        <v>9.0</v>
      </c>
      <c r="I134" s="2">
        <v>87.9</v>
      </c>
      <c r="J134" s="2">
        <v>3.77</v>
      </c>
      <c r="K134" s="2">
        <v>0.0</v>
      </c>
      <c r="L134" s="2">
        <v>4.4</v>
      </c>
      <c r="M134" s="2">
        <v>527300.13</v>
      </c>
      <c r="N134" s="2">
        <v>84197.87</v>
      </c>
    </row>
    <row r="135" ht="15.75" customHeight="1">
      <c r="A135" s="2" t="s">
        <v>55</v>
      </c>
      <c r="B135" s="3">
        <v>45689.0</v>
      </c>
      <c r="C135" s="2" t="s">
        <v>20</v>
      </c>
      <c r="D135" s="2" t="s">
        <v>18</v>
      </c>
      <c r="E135" s="2">
        <v>22071.64</v>
      </c>
      <c r="F135" s="2">
        <v>1814.0</v>
      </c>
      <c r="G135" s="2">
        <v>0.196</v>
      </c>
      <c r="H135" s="2">
        <v>8.0</v>
      </c>
      <c r="I135" s="2">
        <v>81.1</v>
      </c>
      <c r="J135" s="2">
        <v>0.78</v>
      </c>
      <c r="K135" s="2">
        <v>0.0</v>
      </c>
      <c r="L135" s="2"/>
      <c r="M135" s="2">
        <v>400831.65</v>
      </c>
      <c r="N135" s="2">
        <v>70979.31</v>
      </c>
    </row>
    <row r="136" ht="15.75" customHeight="1">
      <c r="A136" s="2" t="s">
        <v>55</v>
      </c>
      <c r="B136" s="3">
        <v>45717.0</v>
      </c>
      <c r="C136" s="2" t="s">
        <v>20</v>
      </c>
      <c r="D136" s="2" t="s">
        <v>18</v>
      </c>
      <c r="E136" s="2">
        <v>52285.45</v>
      </c>
      <c r="F136" s="2">
        <v>3618.0</v>
      </c>
      <c r="G136" s="2">
        <v>0.086</v>
      </c>
      <c r="H136" s="2">
        <v>11.0</v>
      </c>
      <c r="I136" s="2">
        <v>95.6</v>
      </c>
      <c r="J136" s="2">
        <v>5.17</v>
      </c>
      <c r="K136" s="2">
        <v>1.0</v>
      </c>
      <c r="L136" s="2">
        <v>4.4</v>
      </c>
      <c r="M136" s="2">
        <v>593247.25</v>
      </c>
      <c r="N136" s="2">
        <v>81240.29</v>
      </c>
    </row>
    <row r="137" ht="15.75" customHeight="1">
      <c r="A137" s="2" t="s">
        <v>55</v>
      </c>
      <c r="B137" s="3">
        <v>45748.0</v>
      </c>
      <c r="C137" s="2" t="s">
        <v>20</v>
      </c>
      <c r="D137" s="2" t="s">
        <v>18</v>
      </c>
      <c r="E137" s="2">
        <v>70366.76</v>
      </c>
      <c r="F137" s="2">
        <v>1963.0</v>
      </c>
      <c r="G137" s="2">
        <v>0.182</v>
      </c>
      <c r="H137" s="2">
        <v>8.0</v>
      </c>
      <c r="I137" s="2">
        <v>89.8</v>
      </c>
      <c r="J137" s="2">
        <v>3.2</v>
      </c>
      <c r="K137" s="2">
        <v>0.0</v>
      </c>
      <c r="L137" s="2">
        <v>4.6</v>
      </c>
      <c r="M137" s="2">
        <v>529075.95</v>
      </c>
      <c r="N137" s="2">
        <v>95978.83</v>
      </c>
    </row>
    <row r="138" ht="15.75" customHeight="1">
      <c r="A138" s="2" t="s">
        <v>56</v>
      </c>
      <c r="B138" s="3">
        <v>45658.0</v>
      </c>
      <c r="C138" s="2" t="s">
        <v>24</v>
      </c>
      <c r="D138" s="2" t="s">
        <v>16</v>
      </c>
      <c r="E138" s="2">
        <v>71320.66</v>
      </c>
      <c r="F138" s="2">
        <v>7888.0</v>
      </c>
      <c r="G138" s="2">
        <v>0.048</v>
      </c>
      <c r="H138" s="2">
        <v>20.0</v>
      </c>
      <c r="I138" s="2">
        <v>78.1</v>
      </c>
      <c r="J138" s="2">
        <v>3.4</v>
      </c>
      <c r="K138" s="2">
        <v>0.0</v>
      </c>
      <c r="L138" s="2"/>
      <c r="M138" s="2">
        <v>633638.03</v>
      </c>
      <c r="N138" s="2">
        <v>99402.01</v>
      </c>
    </row>
    <row r="139" ht="15.75" customHeight="1">
      <c r="A139" s="2" t="s">
        <v>56</v>
      </c>
      <c r="B139" s="3">
        <v>45689.0</v>
      </c>
      <c r="C139" s="2" t="s">
        <v>24</v>
      </c>
      <c r="D139" s="2" t="s">
        <v>16</v>
      </c>
      <c r="E139" s="2">
        <v>75109.67</v>
      </c>
      <c r="F139" s="2">
        <v>6244.0</v>
      </c>
      <c r="G139" s="2">
        <v>0.079</v>
      </c>
      <c r="H139" s="2">
        <v>15.0</v>
      </c>
      <c r="I139" s="2">
        <v>96.3</v>
      </c>
      <c r="J139" s="2">
        <v>7.38</v>
      </c>
      <c r="K139" s="2">
        <v>0.0</v>
      </c>
      <c r="L139" s="2">
        <v>3.7</v>
      </c>
      <c r="M139" s="2">
        <v>743348.84</v>
      </c>
      <c r="N139" s="2">
        <v>104186.09</v>
      </c>
    </row>
    <row r="140" ht="15.75" customHeight="1">
      <c r="A140" s="2" t="s">
        <v>56</v>
      </c>
      <c r="B140" s="3">
        <v>45717.0</v>
      </c>
      <c r="C140" s="2" t="s">
        <v>24</v>
      </c>
      <c r="D140" s="2" t="s">
        <v>16</v>
      </c>
      <c r="E140" s="2">
        <v>69779.0</v>
      </c>
      <c r="F140" s="2">
        <v>6544.0</v>
      </c>
      <c r="G140" s="2">
        <v>0.152</v>
      </c>
      <c r="H140" s="2">
        <v>18.0</v>
      </c>
      <c r="I140" s="2">
        <v>90.2</v>
      </c>
      <c r="J140" s="2">
        <v>0.85</v>
      </c>
      <c r="K140" s="2">
        <v>1.0</v>
      </c>
      <c r="L140" s="2">
        <v>3.3</v>
      </c>
      <c r="M140" s="2">
        <v>758827.64</v>
      </c>
      <c r="N140" s="2">
        <v>161439.48</v>
      </c>
    </row>
    <row r="141" ht="15.75" customHeight="1">
      <c r="A141" s="2" t="s">
        <v>56</v>
      </c>
      <c r="B141" s="3">
        <v>45748.0</v>
      </c>
      <c r="C141" s="2" t="s">
        <v>24</v>
      </c>
      <c r="D141" s="2" t="s">
        <v>16</v>
      </c>
      <c r="E141" s="2">
        <v>44211.95</v>
      </c>
      <c r="F141" s="2">
        <v>5465.0</v>
      </c>
      <c r="G141" s="2">
        <v>0.187</v>
      </c>
      <c r="H141" s="2">
        <v>12.0</v>
      </c>
      <c r="I141" s="2">
        <v>90.0</v>
      </c>
      <c r="J141" s="2">
        <v>2.89</v>
      </c>
      <c r="K141" s="2">
        <v>0.0</v>
      </c>
      <c r="L141" s="2">
        <v>3.6</v>
      </c>
      <c r="M141" s="2">
        <v>646559.71</v>
      </c>
      <c r="N141" s="2">
        <v>97981.75</v>
      </c>
    </row>
    <row r="142" ht="15.75" customHeight="1">
      <c r="A142" s="2" t="s">
        <v>57</v>
      </c>
      <c r="B142" s="3">
        <v>45658.0</v>
      </c>
      <c r="C142" s="2" t="s">
        <v>27</v>
      </c>
      <c r="D142" s="2" t="s">
        <v>18</v>
      </c>
      <c r="E142" s="2">
        <v>51430.31</v>
      </c>
      <c r="F142" s="2">
        <v>6427.0</v>
      </c>
      <c r="G142" s="2">
        <v>0.234</v>
      </c>
      <c r="H142" s="2">
        <v>14.0</v>
      </c>
      <c r="I142" s="2">
        <v>88.8</v>
      </c>
      <c r="J142" s="2">
        <v>0.77</v>
      </c>
      <c r="K142" s="2">
        <v>0.0</v>
      </c>
      <c r="L142" s="2">
        <v>4.1</v>
      </c>
      <c r="M142" s="2">
        <v>715890.53</v>
      </c>
      <c r="N142" s="2">
        <v>109032.15</v>
      </c>
    </row>
    <row r="143" ht="15.75" customHeight="1">
      <c r="A143" s="2" t="s">
        <v>57</v>
      </c>
      <c r="B143" s="3">
        <v>45689.0</v>
      </c>
      <c r="C143" s="2" t="s">
        <v>27</v>
      </c>
      <c r="D143" s="2" t="s">
        <v>18</v>
      </c>
      <c r="E143" s="2">
        <v>45706.49</v>
      </c>
      <c r="F143" s="2">
        <v>6704.0</v>
      </c>
      <c r="G143" s="2">
        <v>0.038</v>
      </c>
      <c r="H143" s="2">
        <v>15.0</v>
      </c>
      <c r="I143" s="2">
        <v>94.2</v>
      </c>
      <c r="J143" s="2">
        <v>2.92</v>
      </c>
      <c r="K143" s="2">
        <v>0.0</v>
      </c>
      <c r="L143" s="2">
        <v>4.2</v>
      </c>
      <c r="M143" s="2">
        <v>715097.57</v>
      </c>
      <c r="N143" s="2">
        <v>151875.86</v>
      </c>
    </row>
    <row r="144" ht="15.75" customHeight="1">
      <c r="A144" s="2" t="s">
        <v>57</v>
      </c>
      <c r="B144" s="3">
        <v>45717.0</v>
      </c>
      <c r="C144" s="2" t="s">
        <v>27</v>
      </c>
      <c r="D144" s="2" t="s">
        <v>18</v>
      </c>
      <c r="E144" s="2">
        <v>44034.6</v>
      </c>
      <c r="F144" s="2">
        <v>5645.0</v>
      </c>
      <c r="G144" s="2">
        <v>0.069</v>
      </c>
      <c r="H144" s="2">
        <v>18.0</v>
      </c>
      <c r="I144" s="2">
        <v>88.5</v>
      </c>
      <c r="J144" s="2">
        <v>3.07</v>
      </c>
      <c r="K144" s="2">
        <v>0.0</v>
      </c>
      <c r="L144" s="2">
        <v>3.8</v>
      </c>
      <c r="M144" s="2">
        <v>682639.28</v>
      </c>
      <c r="N144" s="2">
        <v>77557.53</v>
      </c>
    </row>
    <row r="145" ht="15.75" customHeight="1">
      <c r="A145" s="2" t="s">
        <v>57</v>
      </c>
      <c r="B145" s="3">
        <v>45748.0</v>
      </c>
      <c r="C145" s="2" t="s">
        <v>27</v>
      </c>
      <c r="D145" s="2" t="s">
        <v>18</v>
      </c>
      <c r="E145" s="2">
        <v>50198.12</v>
      </c>
      <c r="F145" s="2">
        <v>6089.0</v>
      </c>
      <c r="G145" s="2">
        <v>0.182</v>
      </c>
      <c r="H145" s="2">
        <v>19.0</v>
      </c>
      <c r="I145" s="2">
        <v>94.0</v>
      </c>
      <c r="J145" s="2">
        <v>9.7</v>
      </c>
      <c r="K145" s="2">
        <v>0.0</v>
      </c>
      <c r="L145" s="2">
        <v>3.9</v>
      </c>
      <c r="M145" s="2">
        <v>695098.51</v>
      </c>
      <c r="N145" s="2">
        <v>108192.75</v>
      </c>
    </row>
    <row r="146" ht="15.75" customHeight="1">
      <c r="A146" s="2" t="s">
        <v>58</v>
      </c>
      <c r="B146" s="3">
        <v>45658.0</v>
      </c>
      <c r="C146" s="2" t="s">
        <v>20</v>
      </c>
      <c r="D146" s="2" t="s">
        <v>16</v>
      </c>
      <c r="E146" s="2">
        <v>70488.2</v>
      </c>
      <c r="F146" s="2">
        <v>4312.0</v>
      </c>
      <c r="G146" s="2">
        <v>0.169</v>
      </c>
      <c r="H146" s="2">
        <v>12.0</v>
      </c>
      <c r="I146" s="2">
        <v>90.2</v>
      </c>
      <c r="J146" s="2">
        <v>3.71</v>
      </c>
      <c r="K146" s="2">
        <v>0.0</v>
      </c>
      <c r="L146" s="2">
        <v>3.2</v>
      </c>
      <c r="M146" s="2">
        <v>577732.57</v>
      </c>
      <c r="N146" s="2">
        <v>93804.27</v>
      </c>
    </row>
    <row r="147" ht="15.75" customHeight="1">
      <c r="A147" s="2" t="s">
        <v>58</v>
      </c>
      <c r="B147" s="3">
        <v>45689.0</v>
      </c>
      <c r="C147" s="2" t="s">
        <v>20</v>
      </c>
      <c r="D147" s="2" t="s">
        <v>16</v>
      </c>
      <c r="E147" s="2">
        <v>50909.27</v>
      </c>
      <c r="F147" s="2">
        <v>3152.0</v>
      </c>
      <c r="G147" s="2">
        <v>0.06</v>
      </c>
      <c r="H147" s="2">
        <v>13.0</v>
      </c>
      <c r="I147" s="2">
        <v>93.7</v>
      </c>
      <c r="J147" s="2">
        <v>10.79</v>
      </c>
      <c r="K147" s="2">
        <v>0.0</v>
      </c>
      <c r="L147" s="2">
        <v>3.5</v>
      </c>
      <c r="M147" s="2">
        <v>537058.33</v>
      </c>
      <c r="N147" s="2">
        <v>93555.71</v>
      </c>
    </row>
    <row r="148" ht="15.75" customHeight="1">
      <c r="A148" s="2" t="s">
        <v>58</v>
      </c>
      <c r="B148" s="3">
        <v>45717.0</v>
      </c>
      <c r="C148" s="2" t="s">
        <v>20</v>
      </c>
      <c r="D148" s="2" t="s">
        <v>16</v>
      </c>
      <c r="E148" s="2">
        <v>53351.7</v>
      </c>
      <c r="F148" s="2">
        <v>4259.0</v>
      </c>
      <c r="G148" s="2">
        <v>0.156</v>
      </c>
      <c r="H148" s="2">
        <v>15.0</v>
      </c>
      <c r="I148" s="2">
        <v>93.7</v>
      </c>
      <c r="J148" s="2">
        <v>6.03</v>
      </c>
      <c r="K148" s="2">
        <v>0.0</v>
      </c>
      <c r="L148" s="2">
        <v>3.4</v>
      </c>
      <c r="M148" s="2">
        <v>601568.87</v>
      </c>
      <c r="N148" s="2">
        <v>91634.82</v>
      </c>
    </row>
    <row r="149" ht="15.75" customHeight="1">
      <c r="A149" s="2" t="s">
        <v>58</v>
      </c>
      <c r="B149" s="3">
        <v>45748.0</v>
      </c>
      <c r="C149" s="2" t="s">
        <v>20</v>
      </c>
      <c r="D149" s="2" t="s">
        <v>16</v>
      </c>
      <c r="E149" s="2">
        <v>60322.4</v>
      </c>
      <c r="F149" s="2">
        <v>3350.0</v>
      </c>
      <c r="G149" s="2">
        <v>0.108</v>
      </c>
      <c r="H149" s="2">
        <v>12.0</v>
      </c>
      <c r="I149" s="2">
        <v>89.4</v>
      </c>
      <c r="J149" s="2">
        <v>4.92</v>
      </c>
      <c r="K149" s="2">
        <v>0.0</v>
      </c>
      <c r="L149" s="2">
        <v>3.4</v>
      </c>
      <c r="M149" s="2">
        <v>570964.84</v>
      </c>
      <c r="N149" s="2">
        <v>81331.07</v>
      </c>
    </row>
    <row r="150" ht="15.75" customHeight="1">
      <c r="A150" s="2" t="s">
        <v>59</v>
      </c>
      <c r="B150" s="3">
        <v>45658.0</v>
      </c>
      <c r="C150" s="2" t="s">
        <v>24</v>
      </c>
      <c r="D150" s="2" t="s">
        <v>28</v>
      </c>
      <c r="E150" s="2">
        <v>51575.68</v>
      </c>
      <c r="F150" s="2">
        <v>5329.0</v>
      </c>
      <c r="G150" s="2">
        <v>0.047</v>
      </c>
      <c r="H150" s="2">
        <v>17.0</v>
      </c>
      <c r="I150" s="2">
        <v>88.1</v>
      </c>
      <c r="J150" s="2">
        <v>19.78</v>
      </c>
      <c r="K150" s="2">
        <v>0.0</v>
      </c>
      <c r="L150" s="2">
        <v>3.8</v>
      </c>
      <c r="M150" s="2">
        <v>614024.91</v>
      </c>
      <c r="N150" s="2">
        <v>84828.93</v>
      </c>
    </row>
    <row r="151" ht="15.75" customHeight="1">
      <c r="A151" s="2" t="s">
        <v>59</v>
      </c>
      <c r="B151" s="3">
        <v>45689.0</v>
      </c>
      <c r="C151" s="2" t="s">
        <v>24</v>
      </c>
      <c r="D151" s="2" t="s">
        <v>28</v>
      </c>
      <c r="E151" s="2">
        <v>43319.94</v>
      </c>
      <c r="F151" s="2">
        <v>6551.0</v>
      </c>
      <c r="G151" s="2">
        <v>0.044</v>
      </c>
      <c r="H151" s="2">
        <v>13.0</v>
      </c>
      <c r="I151" s="2">
        <v>99.0</v>
      </c>
      <c r="J151" s="2">
        <v>5.45</v>
      </c>
      <c r="K151" s="2">
        <v>0.0</v>
      </c>
      <c r="L151" s="2">
        <v>4.1</v>
      </c>
      <c r="M151" s="2">
        <v>712868.35</v>
      </c>
      <c r="N151" s="2">
        <v>133650.51</v>
      </c>
    </row>
    <row r="152" ht="15.75" customHeight="1">
      <c r="A152" s="2" t="s">
        <v>59</v>
      </c>
      <c r="B152" s="3">
        <v>45717.0</v>
      </c>
      <c r="C152" s="2" t="s">
        <v>24</v>
      </c>
      <c r="D152" s="2" t="s">
        <v>28</v>
      </c>
      <c r="E152" s="2">
        <v>47093.55</v>
      </c>
      <c r="F152" s="2">
        <v>5550.0</v>
      </c>
      <c r="G152" s="2">
        <v>0.1</v>
      </c>
      <c r="H152" s="2">
        <v>12.0</v>
      </c>
      <c r="I152" s="2">
        <v>95.0</v>
      </c>
      <c r="J152" s="2">
        <v>2.33</v>
      </c>
      <c r="K152" s="2">
        <v>1.0</v>
      </c>
      <c r="L152" s="2">
        <v>3.7</v>
      </c>
      <c r="M152" s="2">
        <v>696744.15</v>
      </c>
      <c r="N152" s="2">
        <v>152230.09</v>
      </c>
    </row>
    <row r="153" ht="15.75" customHeight="1">
      <c r="A153" s="2" t="s">
        <v>59</v>
      </c>
      <c r="B153" s="3">
        <v>45748.0</v>
      </c>
      <c r="C153" s="2" t="s">
        <v>24</v>
      </c>
      <c r="D153" s="2" t="s">
        <v>28</v>
      </c>
      <c r="E153" s="2">
        <v>71855.09</v>
      </c>
      <c r="F153" s="2">
        <v>5911.0</v>
      </c>
      <c r="G153" s="2">
        <v>0.197</v>
      </c>
      <c r="H153" s="2">
        <v>15.0</v>
      </c>
      <c r="I153" s="2">
        <v>94.3</v>
      </c>
      <c r="J153" s="2">
        <v>3.55</v>
      </c>
      <c r="K153" s="2">
        <v>0.0</v>
      </c>
      <c r="L153" s="2">
        <v>4.1</v>
      </c>
      <c r="M153" s="2">
        <v>725847.99</v>
      </c>
      <c r="N153" s="2">
        <v>122698.73</v>
      </c>
    </row>
    <row r="154" ht="15.75" customHeight="1">
      <c r="A154" s="2" t="s">
        <v>60</v>
      </c>
      <c r="B154" s="3">
        <v>45658.0</v>
      </c>
      <c r="C154" s="2" t="s">
        <v>15</v>
      </c>
      <c r="D154" s="2" t="s">
        <v>18</v>
      </c>
      <c r="E154" s="2">
        <v>75645.23</v>
      </c>
      <c r="F154" s="2">
        <v>9674.0</v>
      </c>
      <c r="G154" s="2">
        <v>0.234</v>
      </c>
      <c r="H154" s="2">
        <v>21.0</v>
      </c>
      <c r="I154" s="2">
        <v>87.4</v>
      </c>
      <c r="J154" s="2">
        <v>0.2</v>
      </c>
      <c r="K154" s="2">
        <v>0.0</v>
      </c>
      <c r="L154" s="2">
        <v>4.5</v>
      </c>
      <c r="M154" s="2">
        <v>785028.25</v>
      </c>
      <c r="N154" s="2">
        <v>110726.44</v>
      </c>
    </row>
    <row r="155" ht="15.75" customHeight="1">
      <c r="A155" s="2" t="s">
        <v>60</v>
      </c>
      <c r="B155" s="3">
        <v>45689.0</v>
      </c>
      <c r="C155" s="2" t="s">
        <v>15</v>
      </c>
      <c r="D155" s="2" t="s">
        <v>18</v>
      </c>
      <c r="E155" s="2">
        <v>64374.75</v>
      </c>
      <c r="F155" s="2">
        <v>6740.0</v>
      </c>
      <c r="G155" s="2">
        <v>0.169</v>
      </c>
      <c r="H155" s="2">
        <v>18.0</v>
      </c>
      <c r="I155" s="2">
        <v>87.0</v>
      </c>
      <c r="J155" s="2">
        <v>2.09</v>
      </c>
      <c r="K155" s="2">
        <v>0.0</v>
      </c>
      <c r="L155" s="2">
        <v>4.2</v>
      </c>
      <c r="M155" s="2">
        <v>698492.67</v>
      </c>
      <c r="N155" s="2">
        <v>117319.32</v>
      </c>
    </row>
    <row r="156" ht="15.75" customHeight="1">
      <c r="A156" s="2" t="s">
        <v>60</v>
      </c>
      <c r="B156" s="3">
        <v>45717.0</v>
      </c>
      <c r="C156" s="2" t="s">
        <v>15</v>
      </c>
      <c r="D156" s="2" t="s">
        <v>18</v>
      </c>
      <c r="E156" s="2">
        <v>61433.84</v>
      </c>
      <c r="F156" s="2">
        <v>7745.0</v>
      </c>
      <c r="G156" s="2">
        <v>0.18</v>
      </c>
      <c r="H156" s="2">
        <v>16.0</v>
      </c>
      <c r="I156" s="2">
        <v>90.5</v>
      </c>
      <c r="J156" s="2">
        <v>2.26</v>
      </c>
      <c r="K156" s="2">
        <v>0.0</v>
      </c>
      <c r="L156" s="2">
        <v>4.2</v>
      </c>
      <c r="M156" s="2">
        <v>685830.24</v>
      </c>
      <c r="N156" s="2">
        <v>128736.18</v>
      </c>
    </row>
    <row r="157" ht="15.75" customHeight="1">
      <c r="A157" s="2" t="s">
        <v>60</v>
      </c>
      <c r="B157" s="3">
        <v>45748.0</v>
      </c>
      <c r="C157" s="2" t="s">
        <v>15</v>
      </c>
      <c r="D157" s="2" t="s">
        <v>18</v>
      </c>
      <c r="E157" s="2">
        <v>42698.14</v>
      </c>
      <c r="F157" s="2">
        <v>7693.0</v>
      </c>
      <c r="G157" s="2">
        <v>0.187</v>
      </c>
      <c r="H157" s="2">
        <v>19.0</v>
      </c>
      <c r="I157" s="2">
        <v>90.1</v>
      </c>
      <c r="J157" s="2">
        <v>0.44</v>
      </c>
      <c r="K157" s="2">
        <v>0.0</v>
      </c>
      <c r="L157" s="2">
        <v>4.4</v>
      </c>
      <c r="M157" s="2">
        <v>702318.94</v>
      </c>
      <c r="N157" s="2">
        <v>112829.29</v>
      </c>
    </row>
    <row r="158" ht="15.75" customHeight="1">
      <c r="A158" s="2" t="s">
        <v>61</v>
      </c>
      <c r="B158" s="3">
        <v>45658.0</v>
      </c>
      <c r="C158" s="2" t="s">
        <v>20</v>
      </c>
      <c r="D158" s="2" t="s">
        <v>28</v>
      </c>
      <c r="E158" s="2">
        <v>86883.31</v>
      </c>
      <c r="F158" s="2">
        <v>6424.0</v>
      </c>
      <c r="G158" s="2">
        <v>0.057</v>
      </c>
      <c r="H158" s="2">
        <v>19.0</v>
      </c>
      <c r="I158" s="2">
        <v>85.2</v>
      </c>
      <c r="J158" s="2">
        <v>3.08</v>
      </c>
      <c r="K158" s="2">
        <v>0.0</v>
      </c>
      <c r="L158" s="2">
        <v>3.9</v>
      </c>
      <c r="M158" s="2">
        <v>700078.32</v>
      </c>
      <c r="N158" s="2">
        <v>123707.58</v>
      </c>
    </row>
    <row r="159" ht="15.75" customHeight="1">
      <c r="A159" s="2" t="s">
        <v>61</v>
      </c>
      <c r="B159" s="3">
        <v>45689.0</v>
      </c>
      <c r="C159" s="2" t="s">
        <v>20</v>
      </c>
      <c r="D159" s="2" t="s">
        <v>28</v>
      </c>
      <c r="E159" s="2">
        <v>41863.08</v>
      </c>
      <c r="F159" s="2">
        <v>5400.0</v>
      </c>
      <c r="G159" s="2">
        <v>0.114</v>
      </c>
      <c r="H159" s="2">
        <v>11.0</v>
      </c>
      <c r="I159" s="2">
        <v>91.6</v>
      </c>
      <c r="J159" s="2">
        <v>7.99</v>
      </c>
      <c r="K159" s="2">
        <v>0.0</v>
      </c>
      <c r="L159" s="2">
        <v>3.0</v>
      </c>
      <c r="M159" s="2">
        <v>602002.32</v>
      </c>
      <c r="N159" s="2">
        <v>110453.28</v>
      </c>
    </row>
    <row r="160" ht="15.75" customHeight="1">
      <c r="A160" s="2" t="s">
        <v>61</v>
      </c>
      <c r="B160" s="3">
        <v>45717.0</v>
      </c>
      <c r="C160" s="2" t="s">
        <v>20</v>
      </c>
      <c r="D160" s="2" t="s">
        <v>28</v>
      </c>
      <c r="E160" s="2">
        <v>56918.16</v>
      </c>
      <c r="F160" s="2">
        <v>7015.0</v>
      </c>
      <c r="G160" s="2">
        <v>0.158</v>
      </c>
      <c r="H160" s="2">
        <v>18.0</v>
      </c>
      <c r="I160" s="2">
        <v>74.2</v>
      </c>
      <c r="J160" s="2">
        <v>0.2</v>
      </c>
      <c r="K160" s="2">
        <v>0.0</v>
      </c>
      <c r="L160" s="2">
        <v>3.4</v>
      </c>
      <c r="M160" s="2">
        <v>724216.07</v>
      </c>
      <c r="N160" s="2">
        <v>100627.56</v>
      </c>
    </row>
    <row r="161" ht="15.75" customHeight="1">
      <c r="A161" s="2" t="s">
        <v>61</v>
      </c>
      <c r="B161" s="3">
        <v>45748.0</v>
      </c>
      <c r="C161" s="2" t="s">
        <v>20</v>
      </c>
      <c r="D161" s="2" t="s">
        <v>28</v>
      </c>
      <c r="E161" s="2">
        <v>23254.57</v>
      </c>
      <c r="F161" s="2">
        <v>3847.0</v>
      </c>
      <c r="G161" s="2">
        <v>0.159</v>
      </c>
      <c r="H161" s="2">
        <v>12.0</v>
      </c>
      <c r="I161" s="2">
        <v>93.0</v>
      </c>
      <c r="J161" s="2">
        <v>5.46</v>
      </c>
      <c r="K161" s="2">
        <v>0.0</v>
      </c>
      <c r="L161" s="2">
        <v>3.3</v>
      </c>
      <c r="M161" s="2">
        <v>620973.03</v>
      </c>
      <c r="N161" s="2">
        <v>72303.85</v>
      </c>
    </row>
    <row r="162" ht="15.75" customHeight="1">
      <c r="A162" s="2" t="s">
        <v>62</v>
      </c>
      <c r="B162" s="3">
        <v>45658.0</v>
      </c>
      <c r="C162" s="2" t="s">
        <v>24</v>
      </c>
      <c r="D162" s="2" t="s">
        <v>18</v>
      </c>
      <c r="E162" s="2">
        <v>41443.41</v>
      </c>
      <c r="F162" s="2">
        <v>7455.0</v>
      </c>
      <c r="G162" s="2">
        <v>0.175</v>
      </c>
      <c r="H162" s="2">
        <v>16.0</v>
      </c>
      <c r="I162" s="2">
        <v>90.1</v>
      </c>
      <c r="J162" s="2">
        <v>4.05</v>
      </c>
      <c r="K162" s="2">
        <v>0.0</v>
      </c>
      <c r="L162" s="2">
        <v>4.0</v>
      </c>
      <c r="M162" s="2">
        <v>650480.06</v>
      </c>
      <c r="N162" s="2">
        <v>109012.07</v>
      </c>
    </row>
    <row r="163" ht="15.75" customHeight="1">
      <c r="A163" s="2" t="s">
        <v>62</v>
      </c>
      <c r="B163" s="3">
        <v>45689.0</v>
      </c>
      <c r="C163" s="2" t="s">
        <v>24</v>
      </c>
      <c r="D163" s="2" t="s">
        <v>18</v>
      </c>
      <c r="E163" s="2">
        <v>48438.85</v>
      </c>
      <c r="F163" s="2">
        <v>6992.0</v>
      </c>
      <c r="G163" s="2">
        <v>0.034</v>
      </c>
      <c r="H163" s="2">
        <v>20.0</v>
      </c>
      <c r="I163" s="2">
        <v>91.0</v>
      </c>
      <c r="J163" s="2">
        <v>4.36</v>
      </c>
      <c r="K163" s="2">
        <v>0.0</v>
      </c>
      <c r="L163" s="2">
        <v>4.2</v>
      </c>
      <c r="M163" s="2">
        <v>778298.88</v>
      </c>
      <c r="N163" s="2">
        <v>130076.72</v>
      </c>
    </row>
    <row r="164" ht="15.75" customHeight="1">
      <c r="A164" s="2" t="s">
        <v>62</v>
      </c>
      <c r="B164" s="3">
        <v>45717.0</v>
      </c>
      <c r="C164" s="2" t="s">
        <v>24</v>
      </c>
      <c r="D164" s="2" t="s">
        <v>18</v>
      </c>
      <c r="E164" s="2">
        <v>57143.3</v>
      </c>
      <c r="F164" s="2">
        <v>8038.0</v>
      </c>
      <c r="G164" s="2">
        <v>0.193</v>
      </c>
      <c r="H164" s="2">
        <v>17.0</v>
      </c>
      <c r="I164" s="2">
        <v>72.6</v>
      </c>
      <c r="J164" s="2"/>
      <c r="K164" s="2">
        <v>0.0</v>
      </c>
      <c r="L164" s="2">
        <v>4.2</v>
      </c>
      <c r="M164" s="2">
        <v>677096.71</v>
      </c>
      <c r="N164" s="2">
        <v>97174.11</v>
      </c>
    </row>
    <row r="165" ht="15.75" customHeight="1">
      <c r="A165" s="2" t="s">
        <v>62</v>
      </c>
      <c r="B165" s="3">
        <v>45748.0</v>
      </c>
      <c r="C165" s="2" t="s">
        <v>24</v>
      </c>
      <c r="D165" s="2" t="s">
        <v>18</v>
      </c>
      <c r="E165" s="2">
        <v>66870.62</v>
      </c>
      <c r="F165" s="2">
        <v>6055.0</v>
      </c>
      <c r="G165" s="2">
        <v>0.075</v>
      </c>
      <c r="H165" s="2">
        <v>19.0</v>
      </c>
      <c r="I165" s="2">
        <v>93.8</v>
      </c>
      <c r="J165" s="2">
        <v>0.54</v>
      </c>
      <c r="K165" s="2">
        <v>0.0</v>
      </c>
      <c r="L165" s="2">
        <v>4.3</v>
      </c>
      <c r="M165" s="2">
        <v>692008.64</v>
      </c>
      <c r="N165" s="2">
        <v>116337.87</v>
      </c>
    </row>
    <row r="166" ht="15.75" customHeight="1">
      <c r="A166" s="2" t="s">
        <v>63</v>
      </c>
      <c r="B166" s="3">
        <v>45658.0</v>
      </c>
      <c r="C166" s="2" t="s">
        <v>20</v>
      </c>
      <c r="D166" s="2" t="s">
        <v>28</v>
      </c>
      <c r="E166" s="2">
        <v>72150.53</v>
      </c>
      <c r="F166" s="2">
        <v>9323.0</v>
      </c>
      <c r="G166" s="2">
        <v>0.157</v>
      </c>
      <c r="H166" s="2">
        <v>22.0</v>
      </c>
      <c r="I166" s="2">
        <v>82.9</v>
      </c>
      <c r="J166" s="2">
        <v>11.37</v>
      </c>
      <c r="K166" s="2">
        <v>1.0</v>
      </c>
      <c r="L166" s="2">
        <v>4.3</v>
      </c>
      <c r="M166" s="2">
        <v>825797.91</v>
      </c>
      <c r="N166" s="2">
        <v>130945.24</v>
      </c>
    </row>
    <row r="167" ht="15.75" customHeight="1">
      <c r="A167" s="2" t="s">
        <v>63</v>
      </c>
      <c r="B167" s="3">
        <v>45689.0</v>
      </c>
      <c r="C167" s="2" t="s">
        <v>20</v>
      </c>
      <c r="D167" s="2" t="s">
        <v>28</v>
      </c>
      <c r="E167" s="2">
        <v>35303.3</v>
      </c>
      <c r="F167" s="2">
        <v>8789.0</v>
      </c>
      <c r="G167" s="2">
        <v>0.123</v>
      </c>
      <c r="H167" s="2">
        <v>22.0</v>
      </c>
      <c r="I167" s="2">
        <v>86.1</v>
      </c>
      <c r="J167" s="2">
        <v>9.43</v>
      </c>
      <c r="K167" s="2">
        <v>0.0</v>
      </c>
      <c r="L167" s="2">
        <v>4.2</v>
      </c>
      <c r="M167" s="2">
        <v>706285.52</v>
      </c>
      <c r="N167" s="2">
        <v>138014.72</v>
      </c>
    </row>
    <row r="168" ht="15.75" customHeight="1">
      <c r="A168" s="2" t="s">
        <v>63</v>
      </c>
      <c r="B168" s="3">
        <v>45717.0</v>
      </c>
      <c r="C168" s="2" t="s">
        <v>20</v>
      </c>
      <c r="D168" s="2" t="s">
        <v>28</v>
      </c>
      <c r="E168" s="2">
        <v>30301.86</v>
      </c>
      <c r="F168" s="2">
        <v>6939.0</v>
      </c>
      <c r="G168" s="2">
        <v>0.09</v>
      </c>
      <c r="H168" s="2">
        <v>16.0</v>
      </c>
      <c r="I168" s="2">
        <v>90.3</v>
      </c>
      <c r="J168" s="2">
        <v>3.49</v>
      </c>
      <c r="K168" s="2">
        <v>0.0</v>
      </c>
      <c r="L168" s="2">
        <v>4.0</v>
      </c>
      <c r="M168" s="2">
        <v>665534.7</v>
      </c>
      <c r="N168" s="2">
        <v>113167.73</v>
      </c>
    </row>
    <row r="169" ht="15.75" customHeight="1">
      <c r="A169" s="2" t="s">
        <v>63</v>
      </c>
      <c r="B169" s="3">
        <v>45748.0</v>
      </c>
      <c r="C169" s="2" t="s">
        <v>20</v>
      </c>
      <c r="D169" s="2" t="s">
        <v>28</v>
      </c>
      <c r="E169" s="2">
        <v>78432.14</v>
      </c>
      <c r="F169" s="2">
        <v>9440.0</v>
      </c>
      <c r="G169" s="2">
        <v>0.126</v>
      </c>
      <c r="H169" s="2">
        <v>23.0</v>
      </c>
      <c r="I169" s="2">
        <v>89.2</v>
      </c>
      <c r="J169" s="2">
        <v>7.86</v>
      </c>
      <c r="K169" s="2">
        <v>0.0</v>
      </c>
      <c r="L169" s="2">
        <v>4.1</v>
      </c>
      <c r="M169" s="2">
        <v>820729.29</v>
      </c>
      <c r="N169" s="2">
        <v>159325.47</v>
      </c>
    </row>
    <row r="170" ht="15.75" customHeight="1">
      <c r="A170" s="2" t="s">
        <v>64</v>
      </c>
      <c r="B170" s="3">
        <v>45658.0</v>
      </c>
      <c r="C170" s="2" t="s">
        <v>15</v>
      </c>
      <c r="D170" s="2" t="s">
        <v>16</v>
      </c>
      <c r="E170" s="2">
        <v>62059.18</v>
      </c>
      <c r="F170" s="2">
        <v>9374.0</v>
      </c>
      <c r="G170" s="2">
        <v>0.136</v>
      </c>
      <c r="H170" s="2">
        <v>25.0</v>
      </c>
      <c r="I170" s="2">
        <v>87.1</v>
      </c>
      <c r="J170" s="2">
        <v>12.55</v>
      </c>
      <c r="K170" s="2">
        <v>0.0</v>
      </c>
      <c r="L170" s="2">
        <v>4.9</v>
      </c>
      <c r="M170" s="2">
        <v>739831.73</v>
      </c>
      <c r="N170" s="2">
        <v>119490.21</v>
      </c>
    </row>
    <row r="171" ht="15.75" customHeight="1">
      <c r="A171" s="2" t="s">
        <v>64</v>
      </c>
      <c r="B171" s="3">
        <v>45689.0</v>
      </c>
      <c r="C171" s="2" t="s">
        <v>15</v>
      </c>
      <c r="D171" s="2" t="s">
        <v>16</v>
      </c>
      <c r="E171" s="2">
        <v>32834.48</v>
      </c>
      <c r="F171" s="2">
        <v>7576.0</v>
      </c>
      <c r="G171" s="2">
        <v>0.099</v>
      </c>
      <c r="H171" s="2">
        <v>15.0</v>
      </c>
      <c r="I171" s="2">
        <v>84.1</v>
      </c>
      <c r="J171" s="2">
        <v>3.48</v>
      </c>
      <c r="K171" s="2">
        <v>0.0</v>
      </c>
      <c r="L171" s="2">
        <v>5.0</v>
      </c>
      <c r="M171" s="2">
        <v>593637.14</v>
      </c>
      <c r="N171" s="2">
        <v>106648.14</v>
      </c>
    </row>
    <row r="172" ht="15.75" customHeight="1">
      <c r="A172" s="2" t="s">
        <v>64</v>
      </c>
      <c r="B172" s="3">
        <v>45717.0</v>
      </c>
      <c r="C172" s="2" t="s">
        <v>15</v>
      </c>
      <c r="D172" s="2" t="s">
        <v>16</v>
      </c>
      <c r="E172" s="2">
        <v>50825.08</v>
      </c>
      <c r="F172" s="2">
        <v>8949.0</v>
      </c>
      <c r="G172" s="2">
        <v>0.157</v>
      </c>
      <c r="H172" s="2">
        <v>21.0</v>
      </c>
      <c r="I172" s="2">
        <v>84.7</v>
      </c>
      <c r="J172" s="2">
        <v>7.73</v>
      </c>
      <c r="K172" s="2">
        <v>0.0</v>
      </c>
      <c r="L172" s="2">
        <v>4.9</v>
      </c>
      <c r="M172" s="2">
        <v>769702.76</v>
      </c>
      <c r="N172" s="2">
        <v>158697.0</v>
      </c>
    </row>
    <row r="173" ht="15.75" customHeight="1">
      <c r="A173" s="2" t="s">
        <v>64</v>
      </c>
      <c r="B173" s="3">
        <v>45748.0</v>
      </c>
      <c r="C173" s="2" t="s">
        <v>15</v>
      </c>
      <c r="D173" s="2" t="s">
        <v>16</v>
      </c>
      <c r="E173" s="2">
        <v>36606.51</v>
      </c>
      <c r="F173" s="2">
        <v>7671.0</v>
      </c>
      <c r="G173" s="2">
        <v>0.118</v>
      </c>
      <c r="H173" s="2">
        <v>18.0</v>
      </c>
      <c r="I173" s="2">
        <v>89.8</v>
      </c>
      <c r="J173" s="2">
        <v>0.25</v>
      </c>
      <c r="K173" s="2">
        <v>0.0</v>
      </c>
      <c r="L173" s="2">
        <v>4.4</v>
      </c>
      <c r="M173" s="2">
        <v>679731.57</v>
      </c>
      <c r="N173" s="2">
        <v>121546.42</v>
      </c>
    </row>
    <row r="174" ht="15.75" customHeight="1">
      <c r="A174" s="2" t="s">
        <v>65</v>
      </c>
      <c r="B174" s="3">
        <v>45658.0</v>
      </c>
      <c r="C174" s="2" t="s">
        <v>15</v>
      </c>
      <c r="D174" s="2" t="s">
        <v>16</v>
      </c>
      <c r="E174" s="2">
        <v>65237.79</v>
      </c>
      <c r="F174" s="2">
        <v>8741.0</v>
      </c>
      <c r="G174" s="2">
        <v>0.157</v>
      </c>
      <c r="H174" s="2">
        <v>20.0</v>
      </c>
      <c r="I174" s="2">
        <v>94.4</v>
      </c>
      <c r="J174" s="2">
        <v>6.43</v>
      </c>
      <c r="K174" s="2">
        <v>0.0</v>
      </c>
      <c r="L174" s="2">
        <v>3.3</v>
      </c>
      <c r="M174" s="2">
        <v>780344.18</v>
      </c>
      <c r="N174" s="2">
        <v>118239.09</v>
      </c>
    </row>
    <row r="175" ht="15.75" customHeight="1">
      <c r="A175" s="2" t="s">
        <v>65</v>
      </c>
      <c r="B175" s="3">
        <v>45689.0</v>
      </c>
      <c r="C175" s="2" t="s">
        <v>15</v>
      </c>
      <c r="D175" s="2" t="s">
        <v>16</v>
      </c>
      <c r="E175" s="2">
        <v>43645.98</v>
      </c>
      <c r="F175" s="2">
        <v>9480.0</v>
      </c>
      <c r="G175" s="2">
        <v>0.109</v>
      </c>
      <c r="H175" s="2">
        <v>22.0</v>
      </c>
      <c r="I175" s="2">
        <v>89.0</v>
      </c>
      <c r="J175" s="2">
        <v>2.11</v>
      </c>
      <c r="K175" s="2">
        <v>0.0</v>
      </c>
      <c r="L175" s="2">
        <v>3.1</v>
      </c>
      <c r="M175" s="2">
        <v>721364.11</v>
      </c>
      <c r="N175" s="2">
        <v>147272.81</v>
      </c>
    </row>
    <row r="176" ht="15.75" customHeight="1">
      <c r="A176" s="2" t="s">
        <v>65</v>
      </c>
      <c r="B176" s="3">
        <v>45717.0</v>
      </c>
      <c r="C176" s="2" t="s">
        <v>15</v>
      </c>
      <c r="D176" s="2" t="s">
        <v>16</v>
      </c>
      <c r="E176" s="2">
        <v>68040.15</v>
      </c>
      <c r="F176" s="2">
        <v>9826.0</v>
      </c>
      <c r="G176" s="2">
        <v>0.125</v>
      </c>
      <c r="H176" s="2">
        <v>20.0</v>
      </c>
      <c r="I176" s="2">
        <v>83.9</v>
      </c>
      <c r="J176" s="2">
        <v>9.12</v>
      </c>
      <c r="K176" s="2">
        <v>0.0</v>
      </c>
      <c r="L176" s="2">
        <v>3.6</v>
      </c>
      <c r="M176" s="2">
        <v>758138.29</v>
      </c>
      <c r="N176" s="2">
        <v>132975.26</v>
      </c>
    </row>
    <row r="177" ht="15.75" customHeight="1">
      <c r="A177" s="2" t="s">
        <v>65</v>
      </c>
      <c r="B177" s="3">
        <v>45748.0</v>
      </c>
      <c r="C177" s="2" t="s">
        <v>15</v>
      </c>
      <c r="D177" s="2" t="s">
        <v>16</v>
      </c>
      <c r="E177" s="2">
        <v>63043.94</v>
      </c>
      <c r="F177" s="2">
        <v>10402.0</v>
      </c>
      <c r="G177" s="2">
        <v>0.159</v>
      </c>
      <c r="H177" s="2">
        <v>23.0</v>
      </c>
      <c r="I177" s="2">
        <v>93.9</v>
      </c>
      <c r="J177" s="2">
        <v>2.71</v>
      </c>
      <c r="K177" s="2">
        <v>0.0</v>
      </c>
      <c r="L177" s="2">
        <v>3.1</v>
      </c>
      <c r="M177" s="2">
        <v>804264.0</v>
      </c>
      <c r="N177" s="2">
        <v>167117.91</v>
      </c>
    </row>
    <row r="178" ht="15.75" customHeight="1">
      <c r="A178" s="2" t="s">
        <v>66</v>
      </c>
      <c r="B178" s="3">
        <v>45658.0</v>
      </c>
      <c r="C178" s="2" t="s">
        <v>27</v>
      </c>
      <c r="D178" s="2" t="s">
        <v>21</v>
      </c>
      <c r="E178" s="2">
        <v>67494.09</v>
      </c>
      <c r="F178" s="2">
        <v>12361.0</v>
      </c>
      <c r="G178" s="2">
        <v>0.046</v>
      </c>
      <c r="H178" s="2">
        <v>24.0</v>
      </c>
      <c r="I178" s="2">
        <v>76.6</v>
      </c>
      <c r="J178" s="2">
        <v>3.65</v>
      </c>
      <c r="K178" s="2">
        <v>1.0</v>
      </c>
      <c r="L178" s="2">
        <v>3.7</v>
      </c>
      <c r="M178" s="2">
        <v>887537.75</v>
      </c>
      <c r="N178" s="2">
        <v>160362.92</v>
      </c>
    </row>
    <row r="179" ht="15.75" customHeight="1">
      <c r="A179" s="2" t="s">
        <v>66</v>
      </c>
      <c r="B179" s="3">
        <v>45689.0</v>
      </c>
      <c r="C179" s="2" t="s">
        <v>27</v>
      </c>
      <c r="D179" s="2" t="s">
        <v>21</v>
      </c>
      <c r="E179" s="2">
        <v>29389.32</v>
      </c>
      <c r="F179" s="2">
        <v>7925.0</v>
      </c>
      <c r="G179" s="2">
        <v>0.177</v>
      </c>
      <c r="H179" s="2">
        <v>21.0</v>
      </c>
      <c r="I179" s="2">
        <v>90.9</v>
      </c>
      <c r="J179" s="2">
        <v>7.86</v>
      </c>
      <c r="K179" s="2">
        <v>0.0</v>
      </c>
      <c r="L179" s="2">
        <v>4.0</v>
      </c>
      <c r="M179" s="2">
        <v>783582.0</v>
      </c>
      <c r="N179" s="2">
        <v>130670.93</v>
      </c>
    </row>
    <row r="180" ht="15.75" customHeight="1">
      <c r="A180" s="2" t="s">
        <v>66</v>
      </c>
      <c r="B180" s="3">
        <v>45717.0</v>
      </c>
      <c r="C180" s="2" t="s">
        <v>27</v>
      </c>
      <c r="D180" s="2" t="s">
        <v>21</v>
      </c>
      <c r="E180" s="2">
        <v>40535.09</v>
      </c>
      <c r="F180" s="2">
        <v>8870.0</v>
      </c>
      <c r="G180" s="2">
        <v>0.041</v>
      </c>
      <c r="H180" s="2">
        <v>21.0</v>
      </c>
      <c r="I180" s="2">
        <v>86.6</v>
      </c>
      <c r="J180" s="2">
        <v>0.3</v>
      </c>
      <c r="K180" s="2">
        <v>0.0</v>
      </c>
      <c r="L180" s="2">
        <v>4.1</v>
      </c>
      <c r="M180" s="2">
        <v>781955.52</v>
      </c>
      <c r="N180" s="2">
        <v>152578.71</v>
      </c>
    </row>
    <row r="181" ht="15.75" customHeight="1">
      <c r="A181" s="2" t="s">
        <v>66</v>
      </c>
      <c r="B181" s="3">
        <v>45748.0</v>
      </c>
      <c r="C181" s="2" t="s">
        <v>27</v>
      </c>
      <c r="D181" s="2" t="s">
        <v>21</v>
      </c>
      <c r="E181" s="2">
        <v>74881.56</v>
      </c>
      <c r="F181" s="2">
        <v>9999.0</v>
      </c>
      <c r="G181" s="2">
        <v>0.013</v>
      </c>
      <c r="H181" s="2">
        <v>20.0</v>
      </c>
      <c r="I181" s="2">
        <v>89.6</v>
      </c>
      <c r="J181" s="2">
        <v>8.44</v>
      </c>
      <c r="K181" s="2">
        <v>0.0</v>
      </c>
      <c r="L181" s="2">
        <v>4.1</v>
      </c>
      <c r="M181" s="2">
        <v>898031.04</v>
      </c>
      <c r="N181" s="2">
        <v>138666.5</v>
      </c>
    </row>
    <row r="182" ht="15.75" customHeight="1">
      <c r="A182" s="2" t="s">
        <v>67</v>
      </c>
      <c r="B182" s="3">
        <v>45658.0</v>
      </c>
      <c r="C182" s="2" t="s">
        <v>27</v>
      </c>
      <c r="D182" s="2" t="s">
        <v>16</v>
      </c>
      <c r="E182" s="2">
        <v>68491.11</v>
      </c>
      <c r="F182" s="2">
        <v>11154.0</v>
      </c>
      <c r="G182" s="2">
        <v>0.001</v>
      </c>
      <c r="H182" s="2">
        <v>24.0</v>
      </c>
      <c r="I182" s="2">
        <v>89.4</v>
      </c>
      <c r="J182" s="2">
        <v>5.27</v>
      </c>
      <c r="K182" s="2">
        <v>1.0</v>
      </c>
      <c r="L182" s="2">
        <v>3.9</v>
      </c>
      <c r="M182" s="2">
        <v>855341.28</v>
      </c>
      <c r="N182" s="2">
        <v>175823.8</v>
      </c>
    </row>
    <row r="183" ht="15.75" customHeight="1">
      <c r="A183" s="2" t="s">
        <v>67</v>
      </c>
      <c r="B183" s="3">
        <v>45689.0</v>
      </c>
      <c r="C183" s="2" t="s">
        <v>27</v>
      </c>
      <c r="D183" s="2" t="s">
        <v>16</v>
      </c>
      <c r="E183" s="2">
        <v>45209.25</v>
      </c>
      <c r="F183" s="2">
        <v>9287.0</v>
      </c>
      <c r="G183" s="2">
        <v>0.141</v>
      </c>
      <c r="H183" s="2">
        <v>22.0</v>
      </c>
      <c r="I183" s="2">
        <v>86.4</v>
      </c>
      <c r="J183" s="2">
        <v>13.22</v>
      </c>
      <c r="K183" s="2">
        <v>0.0</v>
      </c>
      <c r="L183" s="2">
        <v>3.6</v>
      </c>
      <c r="M183" s="2">
        <v>751393.88</v>
      </c>
      <c r="N183" s="2">
        <v>91480.32</v>
      </c>
    </row>
    <row r="184" ht="15.75" customHeight="1">
      <c r="A184" s="2" t="s">
        <v>67</v>
      </c>
      <c r="B184" s="3">
        <v>45717.0</v>
      </c>
      <c r="C184" s="2" t="s">
        <v>27</v>
      </c>
      <c r="D184" s="2" t="s">
        <v>16</v>
      </c>
      <c r="E184" s="2">
        <v>63010.23</v>
      </c>
      <c r="F184" s="2">
        <v>9812.0</v>
      </c>
      <c r="G184" s="2">
        <v>0.113</v>
      </c>
      <c r="H184" s="2">
        <v>24.0</v>
      </c>
      <c r="I184" s="2">
        <v>76.8</v>
      </c>
      <c r="J184" s="2">
        <v>1.02</v>
      </c>
      <c r="K184" s="2">
        <v>1.0</v>
      </c>
      <c r="L184" s="2">
        <v>3.8</v>
      </c>
      <c r="M184" s="2">
        <v>761077.08</v>
      </c>
      <c r="N184" s="2">
        <v>113605.93</v>
      </c>
    </row>
    <row r="185" ht="15.75" customHeight="1">
      <c r="A185" s="2" t="s">
        <v>67</v>
      </c>
      <c r="B185" s="3">
        <v>45748.0</v>
      </c>
      <c r="C185" s="2" t="s">
        <v>27</v>
      </c>
      <c r="D185" s="2" t="s">
        <v>16</v>
      </c>
      <c r="E185" s="2">
        <v>57948.88</v>
      </c>
      <c r="F185" s="2">
        <v>10741.0</v>
      </c>
      <c r="G185" s="2">
        <v>0.07</v>
      </c>
      <c r="H185" s="2">
        <v>25.0</v>
      </c>
      <c r="I185" s="2">
        <v>90.1</v>
      </c>
      <c r="J185" s="2">
        <v>4.03</v>
      </c>
      <c r="K185" s="2">
        <v>0.0</v>
      </c>
      <c r="L185" s="2">
        <v>3.1</v>
      </c>
      <c r="M185" s="2">
        <v>819660.59</v>
      </c>
      <c r="N185" s="2">
        <v>172699.95</v>
      </c>
    </row>
    <row r="186" ht="15.75" customHeight="1">
      <c r="A186" s="2" t="s">
        <v>68</v>
      </c>
      <c r="B186" s="3">
        <v>45658.0</v>
      </c>
      <c r="C186" s="2" t="s">
        <v>20</v>
      </c>
      <c r="D186" s="2" t="s">
        <v>18</v>
      </c>
      <c r="E186" s="2">
        <v>71941.62</v>
      </c>
      <c r="F186" s="2">
        <v>6084.0</v>
      </c>
      <c r="G186" s="2">
        <v>0.072</v>
      </c>
      <c r="H186" s="2">
        <v>13.0</v>
      </c>
      <c r="I186" s="2">
        <v>93.7</v>
      </c>
      <c r="J186" s="2">
        <v>2.34</v>
      </c>
      <c r="K186" s="2">
        <v>0.0</v>
      </c>
      <c r="L186" s="2">
        <v>4.4</v>
      </c>
      <c r="M186" s="2">
        <v>681855.56</v>
      </c>
      <c r="N186" s="2">
        <v>117645.61</v>
      </c>
    </row>
    <row r="187" ht="15.75" customHeight="1">
      <c r="A187" s="2" t="s">
        <v>68</v>
      </c>
      <c r="B187" s="3">
        <v>45689.0</v>
      </c>
      <c r="C187" s="2" t="s">
        <v>20</v>
      </c>
      <c r="D187" s="2" t="s">
        <v>18</v>
      </c>
      <c r="E187" s="2">
        <v>57147.88</v>
      </c>
      <c r="F187" s="2">
        <v>5252.0</v>
      </c>
      <c r="G187" s="2">
        <v>0.161</v>
      </c>
      <c r="H187" s="2">
        <v>15.0</v>
      </c>
      <c r="I187" s="2">
        <v>95.5</v>
      </c>
      <c r="J187" s="2">
        <v>8.51</v>
      </c>
      <c r="K187" s="2">
        <v>0.0</v>
      </c>
      <c r="L187" s="2">
        <v>4.4</v>
      </c>
      <c r="M187" s="2">
        <v>678311.17</v>
      </c>
      <c r="N187" s="2">
        <v>132029.76</v>
      </c>
    </row>
    <row r="188" ht="15.75" customHeight="1">
      <c r="A188" s="2" t="s">
        <v>68</v>
      </c>
      <c r="B188" s="3">
        <v>45717.0</v>
      </c>
      <c r="C188" s="2" t="s">
        <v>20</v>
      </c>
      <c r="D188" s="2" t="s">
        <v>18</v>
      </c>
      <c r="E188" s="2">
        <v>48031.74</v>
      </c>
      <c r="F188" s="2">
        <v>6516.0</v>
      </c>
      <c r="G188" s="2">
        <v>0.067</v>
      </c>
      <c r="H188" s="2">
        <v>14.0</v>
      </c>
      <c r="I188" s="2">
        <v>99.0</v>
      </c>
      <c r="J188" s="2">
        <v>0.48</v>
      </c>
      <c r="K188" s="2">
        <v>1.0</v>
      </c>
      <c r="L188" s="2">
        <v>4.3</v>
      </c>
      <c r="M188" s="2">
        <v>765906.95</v>
      </c>
      <c r="N188" s="2">
        <v>114005.9</v>
      </c>
    </row>
    <row r="189" ht="15.75" customHeight="1">
      <c r="A189" s="2" t="s">
        <v>68</v>
      </c>
      <c r="B189" s="3">
        <v>45748.0</v>
      </c>
      <c r="C189" s="2" t="s">
        <v>20</v>
      </c>
      <c r="D189" s="2" t="s">
        <v>18</v>
      </c>
      <c r="E189" s="2">
        <v>72784.8</v>
      </c>
      <c r="F189" s="2">
        <v>7932.0</v>
      </c>
      <c r="G189" s="2">
        <v>0.094</v>
      </c>
      <c r="H189" s="2">
        <v>20.0</v>
      </c>
      <c r="I189" s="2">
        <v>74.9</v>
      </c>
      <c r="J189" s="2">
        <v>13.62</v>
      </c>
      <c r="K189" s="2">
        <v>0.0</v>
      </c>
      <c r="L189" s="2">
        <v>4.2</v>
      </c>
      <c r="M189" s="2">
        <v>712546.38</v>
      </c>
      <c r="N189" s="2">
        <v>101480.04</v>
      </c>
    </row>
    <row r="190" ht="15.75" customHeight="1">
      <c r="A190" s="2" t="s">
        <v>69</v>
      </c>
      <c r="B190" s="3">
        <v>45658.0</v>
      </c>
      <c r="C190" s="2" t="s">
        <v>15</v>
      </c>
      <c r="D190" s="2" t="s">
        <v>18</v>
      </c>
      <c r="E190" s="2">
        <v>71641.9</v>
      </c>
      <c r="F190" s="2">
        <v>3506.0</v>
      </c>
      <c r="G190" s="2">
        <v>0.0</v>
      </c>
      <c r="H190" s="2">
        <v>11.0</v>
      </c>
      <c r="I190" s="2">
        <v>86.4</v>
      </c>
      <c r="J190" s="2">
        <v>7.77</v>
      </c>
      <c r="K190" s="2">
        <v>0.0</v>
      </c>
      <c r="L190" s="2">
        <v>4.1</v>
      </c>
      <c r="M190" s="2">
        <v>625993.83</v>
      </c>
      <c r="N190" s="2">
        <v>98960.32</v>
      </c>
    </row>
    <row r="191" ht="15.75" customHeight="1">
      <c r="A191" s="2" t="s">
        <v>69</v>
      </c>
      <c r="B191" s="3">
        <v>45689.0</v>
      </c>
      <c r="C191" s="2" t="s">
        <v>15</v>
      </c>
      <c r="D191" s="2" t="s">
        <v>18</v>
      </c>
      <c r="E191" s="2">
        <v>55788.61</v>
      </c>
      <c r="F191" s="2">
        <v>2312.0</v>
      </c>
      <c r="G191" s="2">
        <v>0.058</v>
      </c>
      <c r="H191" s="2">
        <v>10.0</v>
      </c>
      <c r="I191" s="2">
        <v>91.3</v>
      </c>
      <c r="J191" s="2">
        <v>1.99</v>
      </c>
      <c r="K191" s="2">
        <v>0.0</v>
      </c>
      <c r="L191" s="2">
        <v>3.8</v>
      </c>
      <c r="M191" s="2">
        <v>550962.93</v>
      </c>
      <c r="N191" s="2">
        <v>97144.58</v>
      </c>
    </row>
    <row r="192" ht="15.75" customHeight="1">
      <c r="A192" s="2" t="s">
        <v>69</v>
      </c>
      <c r="B192" s="3">
        <v>45717.0</v>
      </c>
      <c r="C192" s="2" t="s">
        <v>15</v>
      </c>
      <c r="D192" s="2" t="s">
        <v>18</v>
      </c>
      <c r="E192" s="2">
        <v>37705.88</v>
      </c>
      <c r="F192" s="2">
        <v>1268.0</v>
      </c>
      <c r="G192" s="2">
        <v>0.259</v>
      </c>
      <c r="H192" s="2">
        <v>9.0</v>
      </c>
      <c r="I192" s="2">
        <v>84.1</v>
      </c>
      <c r="J192" s="2">
        <v>4.77</v>
      </c>
      <c r="K192" s="2">
        <v>0.0</v>
      </c>
      <c r="L192" s="2">
        <v>3.8</v>
      </c>
      <c r="M192" s="2">
        <v>443275.59</v>
      </c>
      <c r="N192" s="2">
        <v>53544.36</v>
      </c>
    </row>
    <row r="193" ht="15.75" customHeight="1">
      <c r="A193" s="2" t="s">
        <v>69</v>
      </c>
      <c r="B193" s="3">
        <v>45748.0</v>
      </c>
      <c r="C193" s="2" t="s">
        <v>15</v>
      </c>
      <c r="D193" s="2" t="s">
        <v>18</v>
      </c>
      <c r="E193" s="2">
        <v>54966.18</v>
      </c>
      <c r="F193" s="2">
        <v>4423.0</v>
      </c>
      <c r="G193" s="2">
        <v>0.186</v>
      </c>
      <c r="H193" s="2">
        <v>13.0</v>
      </c>
      <c r="I193" s="2">
        <v>88.7</v>
      </c>
      <c r="J193" s="2">
        <v>0.2</v>
      </c>
      <c r="K193" s="2">
        <v>0.0</v>
      </c>
      <c r="L193" s="2">
        <v>4.4</v>
      </c>
      <c r="M193" s="2">
        <v>554012.07</v>
      </c>
      <c r="N193" s="2">
        <v>81101.62</v>
      </c>
    </row>
    <row r="194" ht="15.75" customHeight="1">
      <c r="A194" s="2" t="s">
        <v>70</v>
      </c>
      <c r="B194" s="3">
        <v>45658.0</v>
      </c>
      <c r="C194" s="2" t="s">
        <v>27</v>
      </c>
      <c r="D194" s="2" t="s">
        <v>16</v>
      </c>
      <c r="E194" s="2">
        <v>81796.74</v>
      </c>
      <c r="F194" s="2">
        <v>6177.0</v>
      </c>
      <c r="G194" s="2">
        <v>0.164</v>
      </c>
      <c r="H194" s="2">
        <v>14.0</v>
      </c>
      <c r="I194" s="2">
        <v>87.9</v>
      </c>
      <c r="J194" s="2">
        <v>0.53</v>
      </c>
      <c r="K194" s="2">
        <v>0.0</v>
      </c>
      <c r="L194" s="2">
        <v>3.2</v>
      </c>
      <c r="M194" s="2">
        <v>643428.85</v>
      </c>
      <c r="N194" s="2">
        <v>94477.63</v>
      </c>
    </row>
    <row r="195" ht="15.75" customHeight="1">
      <c r="A195" s="2" t="s">
        <v>70</v>
      </c>
      <c r="B195" s="3">
        <v>45689.0</v>
      </c>
      <c r="C195" s="2" t="s">
        <v>27</v>
      </c>
      <c r="D195" s="2" t="s">
        <v>16</v>
      </c>
      <c r="E195" s="2">
        <v>51133.43</v>
      </c>
      <c r="F195" s="2">
        <v>5150.0</v>
      </c>
      <c r="G195" s="2">
        <v>0.15</v>
      </c>
      <c r="H195" s="2">
        <v>12.0</v>
      </c>
      <c r="I195" s="2">
        <v>88.5</v>
      </c>
      <c r="J195" s="2">
        <v>1.54</v>
      </c>
      <c r="K195" s="2">
        <v>0.0</v>
      </c>
      <c r="L195" s="2">
        <v>3.2</v>
      </c>
      <c r="M195" s="2">
        <v>611924.27</v>
      </c>
      <c r="N195" s="2">
        <v>115488.75</v>
      </c>
    </row>
    <row r="196" ht="15.75" customHeight="1">
      <c r="A196" s="2" t="s">
        <v>70</v>
      </c>
      <c r="B196" s="3">
        <v>45717.0</v>
      </c>
      <c r="C196" s="2" t="s">
        <v>27</v>
      </c>
      <c r="D196" s="2" t="s">
        <v>16</v>
      </c>
      <c r="E196" s="2">
        <v>40220.18</v>
      </c>
      <c r="F196" s="2">
        <v>3783.0</v>
      </c>
      <c r="G196" s="2">
        <v>0.089</v>
      </c>
      <c r="H196" s="2">
        <v>14.0</v>
      </c>
      <c r="I196" s="2">
        <v>86.6</v>
      </c>
      <c r="J196" s="2">
        <v>3.63</v>
      </c>
      <c r="K196" s="2">
        <v>0.0</v>
      </c>
      <c r="L196" s="2">
        <v>3.7</v>
      </c>
      <c r="M196" s="2">
        <v>559422.02</v>
      </c>
      <c r="N196" s="2">
        <v>73528.74</v>
      </c>
    </row>
    <row r="197" ht="15.75" customHeight="1">
      <c r="A197" s="2" t="s">
        <v>70</v>
      </c>
      <c r="B197" s="3">
        <v>45748.0</v>
      </c>
      <c r="C197" s="2" t="s">
        <v>27</v>
      </c>
      <c r="D197" s="2" t="s">
        <v>16</v>
      </c>
      <c r="E197" s="2">
        <v>41657.64</v>
      </c>
      <c r="F197" s="2">
        <v>3135.0</v>
      </c>
      <c r="G197" s="2">
        <v>0.229</v>
      </c>
      <c r="H197" s="2">
        <v>7.0</v>
      </c>
      <c r="I197" s="2">
        <v>85.4</v>
      </c>
      <c r="J197" s="2">
        <v>13.48</v>
      </c>
      <c r="K197" s="2">
        <v>0.0</v>
      </c>
      <c r="L197" s="2"/>
      <c r="M197" s="2">
        <v>449465.06</v>
      </c>
      <c r="N197" s="2">
        <v>65694.78</v>
      </c>
    </row>
    <row r="198" ht="15.75" customHeight="1">
      <c r="A198" s="2" t="s">
        <v>71</v>
      </c>
      <c r="B198" s="3">
        <v>45658.0</v>
      </c>
      <c r="C198" s="2" t="s">
        <v>20</v>
      </c>
      <c r="D198" s="2" t="s">
        <v>16</v>
      </c>
      <c r="E198" s="2">
        <v>71851.45</v>
      </c>
      <c r="F198" s="2">
        <v>4970.0</v>
      </c>
      <c r="G198" s="2">
        <v>0.098</v>
      </c>
      <c r="H198" s="2">
        <v>11.0</v>
      </c>
      <c r="I198" s="2">
        <v>89.6</v>
      </c>
      <c r="J198" s="2">
        <v>0.2</v>
      </c>
      <c r="K198" s="2">
        <v>0.0</v>
      </c>
      <c r="L198" s="2">
        <v>4.2</v>
      </c>
      <c r="M198" s="2">
        <v>691447.43</v>
      </c>
      <c r="N198" s="2">
        <v>114077.69</v>
      </c>
    </row>
    <row r="199" ht="15.75" customHeight="1">
      <c r="A199" s="2" t="s">
        <v>71</v>
      </c>
      <c r="B199" s="3">
        <v>45689.0</v>
      </c>
      <c r="C199" s="2" t="s">
        <v>20</v>
      </c>
      <c r="D199" s="2" t="s">
        <v>16</v>
      </c>
      <c r="E199" s="2">
        <v>54002.83</v>
      </c>
      <c r="F199" s="2">
        <v>4366.0</v>
      </c>
      <c r="G199" s="2">
        <v>0.027</v>
      </c>
      <c r="H199" s="2">
        <v>15.0</v>
      </c>
      <c r="I199" s="2">
        <v>90.6</v>
      </c>
      <c r="J199" s="2">
        <v>12.82</v>
      </c>
      <c r="K199" s="2">
        <v>0.0</v>
      </c>
      <c r="L199" s="2">
        <v>4.6</v>
      </c>
      <c r="M199" s="2">
        <v>574066.61</v>
      </c>
      <c r="N199" s="2">
        <v>124674.67</v>
      </c>
    </row>
    <row r="200" ht="15.75" customHeight="1">
      <c r="A200" s="2" t="s">
        <v>71</v>
      </c>
      <c r="B200" s="3">
        <v>45717.0</v>
      </c>
      <c r="C200" s="2" t="s">
        <v>20</v>
      </c>
      <c r="D200" s="2" t="s">
        <v>16</v>
      </c>
      <c r="E200" s="2">
        <v>54479.33</v>
      </c>
      <c r="F200" s="2">
        <v>5012.0</v>
      </c>
      <c r="G200" s="2">
        <v>0.284</v>
      </c>
      <c r="H200" s="2">
        <v>13.0</v>
      </c>
      <c r="I200" s="2">
        <v>86.0</v>
      </c>
      <c r="J200" s="2">
        <v>2.24</v>
      </c>
      <c r="K200" s="2">
        <v>1.0</v>
      </c>
      <c r="L200" s="2">
        <v>4.3</v>
      </c>
      <c r="M200" s="2">
        <v>578949.84</v>
      </c>
      <c r="N200" s="2">
        <v>80253.65</v>
      </c>
    </row>
    <row r="201" ht="15.75" customHeight="1">
      <c r="A201" s="2" t="s">
        <v>71</v>
      </c>
      <c r="B201" s="3">
        <v>45748.0</v>
      </c>
      <c r="C201" s="2" t="s">
        <v>20</v>
      </c>
      <c r="D201" s="2" t="s">
        <v>16</v>
      </c>
      <c r="E201" s="2">
        <v>61391.8</v>
      </c>
      <c r="F201" s="2">
        <v>5575.0</v>
      </c>
      <c r="G201" s="2">
        <v>0.189</v>
      </c>
      <c r="H201" s="2">
        <v>18.0</v>
      </c>
      <c r="I201" s="2">
        <v>90.0</v>
      </c>
      <c r="J201" s="2">
        <v>1.8</v>
      </c>
      <c r="K201" s="2">
        <v>0.0</v>
      </c>
      <c r="L201" s="2">
        <v>4.8</v>
      </c>
      <c r="M201" s="2">
        <v>735786.64</v>
      </c>
      <c r="N201" s="2">
        <v>126540.66</v>
      </c>
    </row>
    <row r="202" ht="15.75" customHeight="1">
      <c r="A202" s="2" t="s">
        <v>72</v>
      </c>
      <c r="B202" s="3">
        <v>45658.0</v>
      </c>
      <c r="C202" s="2" t="s">
        <v>15</v>
      </c>
      <c r="D202" s="2" t="s">
        <v>21</v>
      </c>
      <c r="E202" s="2">
        <v>22312.93</v>
      </c>
      <c r="F202" s="2">
        <v>5955.0</v>
      </c>
      <c r="G202" s="2">
        <v>0.123</v>
      </c>
      <c r="H202" s="2">
        <v>13.0</v>
      </c>
      <c r="I202" s="2">
        <v>84.2</v>
      </c>
      <c r="J202" s="2">
        <v>0.41</v>
      </c>
      <c r="K202" s="2">
        <v>1.0</v>
      </c>
      <c r="L202" s="2">
        <v>4.6</v>
      </c>
      <c r="M202" s="2">
        <v>598904.9</v>
      </c>
      <c r="N202" s="2">
        <v>72861.0</v>
      </c>
    </row>
    <row r="203" ht="15.75" customHeight="1">
      <c r="A203" s="2" t="s">
        <v>72</v>
      </c>
      <c r="B203" s="3">
        <v>45689.0</v>
      </c>
      <c r="C203" s="2" t="s">
        <v>15</v>
      </c>
      <c r="D203" s="2" t="s">
        <v>21</v>
      </c>
      <c r="E203" s="2">
        <v>78111.97</v>
      </c>
      <c r="F203" s="2">
        <v>6389.0</v>
      </c>
      <c r="G203" s="2">
        <v>0.15</v>
      </c>
      <c r="H203" s="2">
        <v>13.0</v>
      </c>
      <c r="I203" s="2">
        <v>83.9</v>
      </c>
      <c r="J203" s="2">
        <v>3.05</v>
      </c>
      <c r="K203" s="2">
        <v>0.0</v>
      </c>
      <c r="L203" s="2">
        <v>4.8</v>
      </c>
      <c r="M203" s="2">
        <v>787715.51</v>
      </c>
      <c r="N203" s="2">
        <v>128969.62</v>
      </c>
    </row>
    <row r="204" ht="15.75" customHeight="1">
      <c r="A204" s="2" t="s">
        <v>72</v>
      </c>
      <c r="B204" s="3">
        <v>45717.0</v>
      </c>
      <c r="C204" s="2" t="s">
        <v>15</v>
      </c>
      <c r="D204" s="2" t="s">
        <v>21</v>
      </c>
      <c r="E204" s="2">
        <v>35203.23</v>
      </c>
      <c r="F204" s="2">
        <v>6896.0</v>
      </c>
      <c r="G204" s="2">
        <v>0.032</v>
      </c>
      <c r="H204" s="2">
        <v>14.0</v>
      </c>
      <c r="I204" s="2">
        <v>80.8</v>
      </c>
      <c r="J204" s="2">
        <v>8.44</v>
      </c>
      <c r="K204" s="2">
        <v>1.0</v>
      </c>
      <c r="L204" s="2">
        <v>5.0</v>
      </c>
      <c r="M204" s="2">
        <v>607084.92</v>
      </c>
      <c r="N204" s="2">
        <v>98558.49</v>
      </c>
    </row>
    <row r="205" ht="15.75" customHeight="1">
      <c r="A205" s="2" t="s">
        <v>72</v>
      </c>
      <c r="B205" s="3">
        <v>45748.0</v>
      </c>
      <c r="C205" s="2" t="s">
        <v>15</v>
      </c>
      <c r="D205" s="2" t="s">
        <v>21</v>
      </c>
      <c r="E205" s="2">
        <v>64104.28</v>
      </c>
      <c r="F205" s="2">
        <v>6015.0</v>
      </c>
      <c r="G205" s="2">
        <v>0.127</v>
      </c>
      <c r="H205" s="2">
        <v>15.0</v>
      </c>
      <c r="I205" s="2">
        <v>88.7</v>
      </c>
      <c r="J205" s="2">
        <v>0.78</v>
      </c>
      <c r="K205" s="2">
        <v>0.0</v>
      </c>
      <c r="L205" s="2">
        <v>4.0</v>
      </c>
      <c r="M205" s="2">
        <v>650795.49</v>
      </c>
      <c r="N205" s="2">
        <v>103035.89</v>
      </c>
    </row>
    <row r="206" ht="15.75" customHeight="1">
      <c r="A206" s="2" t="s">
        <v>73</v>
      </c>
      <c r="B206" s="3">
        <v>45658.0</v>
      </c>
      <c r="C206" s="2" t="s">
        <v>15</v>
      </c>
      <c r="D206" s="2" t="s">
        <v>28</v>
      </c>
      <c r="E206" s="2">
        <v>92090.14</v>
      </c>
      <c r="F206" s="2">
        <v>9476.0</v>
      </c>
      <c r="G206" s="2">
        <v>0.07</v>
      </c>
      <c r="H206" s="2">
        <v>24.0</v>
      </c>
      <c r="I206" s="2">
        <v>94.3</v>
      </c>
      <c r="J206" s="2">
        <v>0.87</v>
      </c>
      <c r="K206" s="2">
        <v>0.0</v>
      </c>
      <c r="L206" s="2">
        <v>3.7</v>
      </c>
      <c r="M206" s="2">
        <v>825060.52</v>
      </c>
      <c r="N206" s="2">
        <v>143613.15</v>
      </c>
    </row>
    <row r="207" ht="15.75" customHeight="1">
      <c r="A207" s="2" t="s">
        <v>73</v>
      </c>
      <c r="B207" s="3">
        <v>45689.0</v>
      </c>
      <c r="C207" s="2" t="s">
        <v>15</v>
      </c>
      <c r="D207" s="2" t="s">
        <v>28</v>
      </c>
      <c r="E207" s="2">
        <v>54300.87</v>
      </c>
      <c r="F207" s="2">
        <v>7875.0</v>
      </c>
      <c r="G207" s="2">
        <v>0.107</v>
      </c>
      <c r="H207" s="2">
        <v>19.0</v>
      </c>
      <c r="I207" s="2">
        <v>94.1</v>
      </c>
      <c r="J207" s="2">
        <v>0.95</v>
      </c>
      <c r="K207" s="2">
        <v>0.0</v>
      </c>
      <c r="L207" s="2">
        <v>3.7</v>
      </c>
      <c r="M207" s="2">
        <v>795464.47</v>
      </c>
      <c r="N207" s="2">
        <v>161150.52</v>
      </c>
    </row>
    <row r="208" ht="15.75" customHeight="1">
      <c r="A208" s="2" t="s">
        <v>73</v>
      </c>
      <c r="B208" s="3">
        <v>45717.0</v>
      </c>
      <c r="C208" s="2" t="s">
        <v>15</v>
      </c>
      <c r="D208" s="2" t="s">
        <v>28</v>
      </c>
      <c r="E208" s="2">
        <v>37983.35</v>
      </c>
      <c r="F208" s="2">
        <v>9283.0</v>
      </c>
      <c r="G208" s="2">
        <v>0.149</v>
      </c>
      <c r="H208" s="2">
        <v>19.0</v>
      </c>
      <c r="I208" s="2">
        <v>83.2</v>
      </c>
      <c r="J208" s="2">
        <v>3.82</v>
      </c>
      <c r="K208" s="2">
        <v>0.0</v>
      </c>
      <c r="L208" s="2">
        <v>3.7</v>
      </c>
      <c r="M208" s="2">
        <v>671868.59</v>
      </c>
      <c r="N208" s="2">
        <v>71003.28</v>
      </c>
    </row>
    <row r="209" ht="15.75" customHeight="1">
      <c r="A209" s="2" t="s">
        <v>73</v>
      </c>
      <c r="B209" s="3">
        <v>45748.0</v>
      </c>
      <c r="C209" s="2" t="s">
        <v>15</v>
      </c>
      <c r="D209" s="2" t="s">
        <v>28</v>
      </c>
      <c r="E209" s="2">
        <v>56413.83</v>
      </c>
      <c r="F209" s="2">
        <v>8303.0</v>
      </c>
      <c r="G209" s="2">
        <v>0.116</v>
      </c>
      <c r="H209" s="2">
        <v>18.0</v>
      </c>
      <c r="I209" s="2">
        <v>93.6</v>
      </c>
      <c r="J209" s="2">
        <v>2.7</v>
      </c>
      <c r="K209" s="2">
        <v>0.0</v>
      </c>
      <c r="L209" s="2">
        <v>3.7</v>
      </c>
      <c r="M209" s="2">
        <v>675917.63</v>
      </c>
      <c r="N209" s="2">
        <v>112564.75</v>
      </c>
    </row>
    <row r="210" ht="15.75" customHeight="1">
      <c r="A210" s="2" t="s">
        <v>74</v>
      </c>
      <c r="B210" s="3">
        <v>45658.0</v>
      </c>
      <c r="C210" s="2" t="s">
        <v>15</v>
      </c>
      <c r="D210" s="2" t="s">
        <v>18</v>
      </c>
      <c r="E210" s="2">
        <v>63457.19</v>
      </c>
      <c r="F210" s="2">
        <v>10125.0</v>
      </c>
      <c r="G210" s="2">
        <v>0.097</v>
      </c>
      <c r="H210" s="2">
        <v>24.0</v>
      </c>
      <c r="I210" s="2">
        <v>87.0</v>
      </c>
      <c r="J210" s="2">
        <v>3.84</v>
      </c>
      <c r="K210" s="2">
        <v>1.0</v>
      </c>
      <c r="L210" s="2">
        <v>3.7</v>
      </c>
      <c r="M210" s="2">
        <v>810446.53</v>
      </c>
      <c r="N210" s="2">
        <v>200575.34</v>
      </c>
    </row>
    <row r="211" ht="15.75" customHeight="1">
      <c r="A211" s="2" t="s">
        <v>74</v>
      </c>
      <c r="B211" s="3">
        <v>45689.0</v>
      </c>
      <c r="C211" s="2" t="s">
        <v>15</v>
      </c>
      <c r="D211" s="2" t="s">
        <v>18</v>
      </c>
      <c r="E211" s="2">
        <v>62949.7</v>
      </c>
      <c r="F211" s="2">
        <v>9458.0</v>
      </c>
      <c r="G211" s="2">
        <v>0.171</v>
      </c>
      <c r="H211" s="2">
        <v>19.0</v>
      </c>
      <c r="I211" s="2">
        <v>84.9</v>
      </c>
      <c r="J211" s="2">
        <v>5.09</v>
      </c>
      <c r="K211" s="2">
        <v>0.0</v>
      </c>
      <c r="L211" s="2">
        <v>3.3</v>
      </c>
      <c r="M211" s="2">
        <v>691288.19</v>
      </c>
      <c r="N211" s="2">
        <v>159074.14</v>
      </c>
    </row>
    <row r="212" ht="15.75" customHeight="1">
      <c r="A212" s="2" t="s">
        <v>74</v>
      </c>
      <c r="B212" s="3">
        <v>45717.0</v>
      </c>
      <c r="C212" s="2" t="s">
        <v>15</v>
      </c>
      <c r="D212" s="2" t="s">
        <v>18</v>
      </c>
      <c r="E212" s="2">
        <v>107970.19</v>
      </c>
      <c r="F212" s="2">
        <v>12870.0</v>
      </c>
      <c r="G212" s="2">
        <v>0.029</v>
      </c>
      <c r="H212" s="2">
        <v>31.0</v>
      </c>
      <c r="I212" s="2">
        <v>91.7</v>
      </c>
      <c r="J212" s="2">
        <v>3.82</v>
      </c>
      <c r="K212" s="2">
        <v>1.0</v>
      </c>
      <c r="L212" s="2">
        <v>3.7</v>
      </c>
      <c r="M212" s="2">
        <v>946833.54</v>
      </c>
      <c r="N212" s="2">
        <v>184540.31</v>
      </c>
    </row>
    <row r="213" ht="15.75" customHeight="1">
      <c r="A213" s="2" t="s">
        <v>74</v>
      </c>
      <c r="B213" s="3">
        <v>45748.0</v>
      </c>
      <c r="C213" s="2" t="s">
        <v>15</v>
      </c>
      <c r="D213" s="2" t="s">
        <v>18</v>
      </c>
      <c r="E213" s="2">
        <v>49405.75</v>
      </c>
      <c r="F213" s="2">
        <v>9752.0</v>
      </c>
      <c r="G213" s="2">
        <v>0.093</v>
      </c>
      <c r="H213" s="2">
        <v>21.0</v>
      </c>
      <c r="I213" s="2">
        <v>87.0</v>
      </c>
      <c r="J213" s="2">
        <v>12.28</v>
      </c>
      <c r="K213" s="2">
        <v>0.0</v>
      </c>
      <c r="L213" s="2">
        <v>4.1</v>
      </c>
      <c r="M213" s="2">
        <v>761963.23</v>
      </c>
      <c r="N213" s="2">
        <v>150113.61</v>
      </c>
    </row>
    <row r="214" ht="15.75" customHeight="1">
      <c r="A214" s="2" t="s">
        <v>75</v>
      </c>
      <c r="B214" s="3">
        <v>45658.0</v>
      </c>
      <c r="C214" s="2" t="s">
        <v>27</v>
      </c>
      <c r="D214" s="2" t="s">
        <v>16</v>
      </c>
      <c r="E214" s="2">
        <v>50887.46</v>
      </c>
      <c r="F214" s="2">
        <v>9505.0</v>
      </c>
      <c r="G214" s="2">
        <v>0.091</v>
      </c>
      <c r="H214" s="2">
        <v>25.0</v>
      </c>
      <c r="I214" s="2">
        <v>89.7</v>
      </c>
      <c r="J214" s="2">
        <v>2.8</v>
      </c>
      <c r="K214" s="2">
        <v>0.0</v>
      </c>
      <c r="L214" s="2">
        <v>4.3</v>
      </c>
      <c r="M214" s="2">
        <v>812152.6</v>
      </c>
      <c r="N214" s="2">
        <v>138419.43</v>
      </c>
    </row>
    <row r="215" ht="15.75" customHeight="1">
      <c r="A215" s="2" t="s">
        <v>75</v>
      </c>
      <c r="B215" s="3">
        <v>45689.0</v>
      </c>
      <c r="C215" s="2" t="s">
        <v>27</v>
      </c>
      <c r="D215" s="2" t="s">
        <v>16</v>
      </c>
      <c r="E215" s="2">
        <v>41819.45</v>
      </c>
      <c r="F215" s="2">
        <v>9412.0</v>
      </c>
      <c r="G215" s="2">
        <v>0.15</v>
      </c>
      <c r="H215" s="2">
        <v>22.0</v>
      </c>
      <c r="I215" s="2">
        <v>91.0</v>
      </c>
      <c r="J215" s="2">
        <v>3.67</v>
      </c>
      <c r="K215" s="2">
        <v>0.0</v>
      </c>
      <c r="L215" s="2">
        <v>4.2</v>
      </c>
      <c r="M215" s="2">
        <v>804975.5</v>
      </c>
      <c r="N215" s="2">
        <v>140054.5</v>
      </c>
    </row>
    <row r="216" ht="15.75" customHeight="1">
      <c r="A216" s="2" t="s">
        <v>75</v>
      </c>
      <c r="B216" s="3">
        <v>45717.0</v>
      </c>
      <c r="C216" s="2" t="s">
        <v>27</v>
      </c>
      <c r="D216" s="2" t="s">
        <v>16</v>
      </c>
      <c r="E216" s="2">
        <v>35296.54</v>
      </c>
      <c r="F216" s="2">
        <v>9644.0</v>
      </c>
      <c r="G216" s="2">
        <v>0.0</v>
      </c>
      <c r="H216" s="2">
        <v>22.0</v>
      </c>
      <c r="I216" s="2">
        <v>88.0</v>
      </c>
      <c r="J216" s="2">
        <v>2.81</v>
      </c>
      <c r="K216" s="2">
        <v>0.0</v>
      </c>
      <c r="L216" s="2">
        <v>4.7</v>
      </c>
      <c r="M216" s="2">
        <v>752321.72</v>
      </c>
      <c r="N216" s="2">
        <v>137788.51</v>
      </c>
    </row>
    <row r="217" ht="15.75" customHeight="1">
      <c r="A217" s="2" t="s">
        <v>75</v>
      </c>
      <c r="B217" s="3">
        <v>45748.0</v>
      </c>
      <c r="C217" s="2" t="s">
        <v>27</v>
      </c>
      <c r="D217" s="2" t="s">
        <v>16</v>
      </c>
      <c r="E217" s="2">
        <v>47391.09</v>
      </c>
      <c r="F217" s="2">
        <v>11224.0</v>
      </c>
      <c r="G217" s="2">
        <v>0.147</v>
      </c>
      <c r="H217" s="2">
        <v>25.0</v>
      </c>
      <c r="I217" s="2">
        <v>88.4</v>
      </c>
      <c r="J217" s="2">
        <v>2.44</v>
      </c>
      <c r="K217" s="2">
        <v>0.0</v>
      </c>
      <c r="L217" s="2">
        <v>4.9</v>
      </c>
      <c r="M217" s="2">
        <v>836908.24</v>
      </c>
      <c r="N217" s="2">
        <v>141090.26</v>
      </c>
    </row>
    <row r="218" ht="15.75" customHeight="1">
      <c r="A218" s="2" t="s">
        <v>76</v>
      </c>
      <c r="B218" s="3">
        <v>45658.0</v>
      </c>
      <c r="C218" s="2" t="s">
        <v>20</v>
      </c>
      <c r="D218" s="2" t="s">
        <v>21</v>
      </c>
      <c r="E218" s="2">
        <v>69180.54</v>
      </c>
      <c r="F218" s="2">
        <v>5394.0</v>
      </c>
      <c r="G218" s="2">
        <v>0.126</v>
      </c>
      <c r="H218" s="2">
        <v>12.0</v>
      </c>
      <c r="I218" s="2">
        <v>82.9</v>
      </c>
      <c r="J218" s="2">
        <v>3.27</v>
      </c>
      <c r="K218" s="2">
        <v>0.0</v>
      </c>
      <c r="L218" s="2">
        <v>3.3</v>
      </c>
      <c r="M218" s="2">
        <v>674289.1</v>
      </c>
      <c r="N218" s="2">
        <v>117773.79</v>
      </c>
    </row>
    <row r="219" ht="15.75" customHeight="1">
      <c r="A219" s="2" t="s">
        <v>76</v>
      </c>
      <c r="B219" s="3">
        <v>45689.0</v>
      </c>
      <c r="C219" s="2" t="s">
        <v>20</v>
      </c>
      <c r="D219" s="2" t="s">
        <v>21</v>
      </c>
      <c r="E219" s="2">
        <v>33987.33</v>
      </c>
      <c r="F219" s="2">
        <v>5014.0</v>
      </c>
      <c r="G219" s="2">
        <v>0.246</v>
      </c>
      <c r="H219" s="2">
        <v>17.0</v>
      </c>
      <c r="I219" s="2">
        <v>94.3</v>
      </c>
      <c r="J219" s="2">
        <v>10.34</v>
      </c>
      <c r="K219" s="2">
        <v>0.0</v>
      </c>
      <c r="L219" s="2">
        <v>3.9</v>
      </c>
      <c r="M219" s="2">
        <v>622892.42</v>
      </c>
      <c r="N219" s="2">
        <v>101032.52</v>
      </c>
    </row>
    <row r="220" ht="15.75" customHeight="1">
      <c r="A220" s="2" t="s">
        <v>76</v>
      </c>
      <c r="B220" s="3">
        <v>45717.0</v>
      </c>
      <c r="C220" s="2" t="s">
        <v>20</v>
      </c>
      <c r="D220" s="2" t="s">
        <v>21</v>
      </c>
      <c r="E220" s="2">
        <v>58785.33</v>
      </c>
      <c r="F220" s="2">
        <v>4467.0</v>
      </c>
      <c r="G220" s="2">
        <v>0.229</v>
      </c>
      <c r="H220" s="2">
        <v>14.0</v>
      </c>
      <c r="I220" s="2">
        <v>90.7</v>
      </c>
      <c r="J220" s="2">
        <v>1.92</v>
      </c>
      <c r="K220" s="2">
        <v>0.0</v>
      </c>
      <c r="L220" s="2">
        <v>3.7</v>
      </c>
      <c r="M220" s="2">
        <v>673348.56</v>
      </c>
      <c r="N220" s="2">
        <v>69464.59</v>
      </c>
    </row>
    <row r="221" ht="15.75" customHeight="1">
      <c r="A221" s="2" t="s">
        <v>76</v>
      </c>
      <c r="B221" s="3">
        <v>45748.0</v>
      </c>
      <c r="C221" s="2" t="s">
        <v>20</v>
      </c>
      <c r="D221" s="2" t="s">
        <v>21</v>
      </c>
      <c r="E221" s="2">
        <v>16451.85</v>
      </c>
      <c r="F221" s="2">
        <v>4678.0</v>
      </c>
      <c r="G221" s="2">
        <v>0.133</v>
      </c>
      <c r="H221" s="2">
        <v>11.0</v>
      </c>
      <c r="I221" s="2">
        <v>95.9</v>
      </c>
      <c r="J221" s="2">
        <v>3.1</v>
      </c>
      <c r="K221" s="2">
        <v>0.0</v>
      </c>
      <c r="L221" s="2">
        <v>3.9</v>
      </c>
      <c r="M221" s="2">
        <v>606278.3</v>
      </c>
      <c r="N221" s="2">
        <v>102213.26</v>
      </c>
    </row>
    <row r="222" ht="15.75" customHeight="1">
      <c r="A222" s="2" t="s">
        <v>77</v>
      </c>
      <c r="B222" s="3">
        <v>45658.0</v>
      </c>
      <c r="C222" s="2" t="s">
        <v>15</v>
      </c>
      <c r="D222" s="2" t="s">
        <v>18</v>
      </c>
      <c r="E222" s="2">
        <v>53367.73</v>
      </c>
      <c r="F222" s="2">
        <v>7291.0</v>
      </c>
      <c r="G222" s="2">
        <v>0.146</v>
      </c>
      <c r="H222" s="2">
        <v>18.0</v>
      </c>
      <c r="I222" s="2">
        <v>90.6</v>
      </c>
      <c r="J222" s="2">
        <v>6.34</v>
      </c>
      <c r="K222" s="2">
        <v>1.0</v>
      </c>
      <c r="L222" s="2">
        <v>3.8</v>
      </c>
      <c r="M222" s="2">
        <v>712219.81</v>
      </c>
      <c r="N222" s="2">
        <v>85906.54</v>
      </c>
    </row>
    <row r="223" ht="15.75" customHeight="1">
      <c r="A223" s="2" t="s">
        <v>77</v>
      </c>
      <c r="B223" s="3">
        <v>45689.0</v>
      </c>
      <c r="C223" s="2" t="s">
        <v>15</v>
      </c>
      <c r="D223" s="2" t="s">
        <v>18</v>
      </c>
      <c r="E223" s="2">
        <v>27194.64</v>
      </c>
      <c r="F223" s="2">
        <v>7404.0</v>
      </c>
      <c r="G223" s="2">
        <v>0.088</v>
      </c>
      <c r="H223" s="2">
        <v>18.0</v>
      </c>
      <c r="I223" s="2">
        <v>90.2</v>
      </c>
      <c r="J223" s="2">
        <v>1.2</v>
      </c>
      <c r="K223" s="2">
        <v>0.0</v>
      </c>
      <c r="L223" s="2">
        <v>3.4</v>
      </c>
      <c r="M223" s="2">
        <v>672670.54</v>
      </c>
      <c r="N223" s="2">
        <v>132684.18</v>
      </c>
    </row>
    <row r="224" ht="15.75" customHeight="1">
      <c r="A224" s="2" t="s">
        <v>77</v>
      </c>
      <c r="B224" s="3">
        <v>45717.0</v>
      </c>
      <c r="C224" s="2" t="s">
        <v>15</v>
      </c>
      <c r="D224" s="2" t="s">
        <v>18</v>
      </c>
      <c r="E224" s="2">
        <v>66962.74</v>
      </c>
      <c r="F224" s="2">
        <v>7880.0</v>
      </c>
      <c r="G224" s="2">
        <v>0.116</v>
      </c>
      <c r="H224" s="2">
        <v>19.0</v>
      </c>
      <c r="I224" s="2">
        <v>90.4</v>
      </c>
      <c r="J224" s="2">
        <v>4.5</v>
      </c>
      <c r="K224" s="2">
        <v>0.0</v>
      </c>
      <c r="L224" s="2">
        <v>3.3</v>
      </c>
      <c r="M224" s="2">
        <v>732667.92</v>
      </c>
      <c r="N224" s="2">
        <v>128654.46</v>
      </c>
    </row>
    <row r="225" ht="15.75" customHeight="1">
      <c r="A225" s="2" t="s">
        <v>77</v>
      </c>
      <c r="B225" s="3">
        <v>45748.0</v>
      </c>
      <c r="C225" s="2" t="s">
        <v>15</v>
      </c>
      <c r="D225" s="2" t="s">
        <v>18</v>
      </c>
      <c r="E225" s="2">
        <v>73540.99</v>
      </c>
      <c r="F225" s="2">
        <v>8773.0</v>
      </c>
      <c r="G225" s="2">
        <v>0.035</v>
      </c>
      <c r="H225" s="2">
        <v>21.0</v>
      </c>
      <c r="I225" s="2">
        <v>84.4</v>
      </c>
      <c r="J225" s="2">
        <v>6.68</v>
      </c>
      <c r="K225" s="2">
        <v>0.0</v>
      </c>
      <c r="L225" s="2">
        <v>3.6</v>
      </c>
      <c r="M225" s="2">
        <v>723531.4</v>
      </c>
      <c r="N225" s="2">
        <v>108794.85</v>
      </c>
    </row>
    <row r="226" ht="15.75" customHeight="1">
      <c r="A226" s="2" t="s">
        <v>78</v>
      </c>
      <c r="B226" s="3">
        <v>45658.0</v>
      </c>
      <c r="C226" s="2" t="s">
        <v>15</v>
      </c>
      <c r="D226" s="2" t="s">
        <v>28</v>
      </c>
      <c r="E226" s="2">
        <v>68212.29</v>
      </c>
      <c r="F226" s="2">
        <v>4713.0</v>
      </c>
      <c r="G226" s="2">
        <v>0.198</v>
      </c>
      <c r="H226" s="2">
        <v>15.0</v>
      </c>
      <c r="I226" s="2">
        <v>82.6</v>
      </c>
      <c r="J226" s="2">
        <v>4.07</v>
      </c>
      <c r="K226" s="2">
        <v>1.0</v>
      </c>
      <c r="L226" s="2">
        <v>3.0</v>
      </c>
      <c r="M226" s="2">
        <v>641564.6</v>
      </c>
      <c r="N226" s="2">
        <v>90468.96</v>
      </c>
    </row>
    <row r="227" ht="15.75" customHeight="1">
      <c r="A227" s="2" t="s">
        <v>78</v>
      </c>
      <c r="B227" s="3">
        <v>45689.0</v>
      </c>
      <c r="C227" s="2" t="s">
        <v>15</v>
      </c>
      <c r="D227" s="2" t="s">
        <v>28</v>
      </c>
      <c r="E227" s="2">
        <v>57225.98</v>
      </c>
      <c r="F227" s="2">
        <v>2842.0</v>
      </c>
      <c r="G227" s="2">
        <v>0.112</v>
      </c>
      <c r="H227" s="2">
        <v>10.0</v>
      </c>
      <c r="I227" s="2">
        <v>79.5</v>
      </c>
      <c r="J227" s="2">
        <v>5.45</v>
      </c>
      <c r="K227" s="2">
        <v>0.0</v>
      </c>
      <c r="L227" s="2">
        <v>3.4</v>
      </c>
      <c r="M227" s="2">
        <v>536545.49</v>
      </c>
      <c r="N227" s="2">
        <v>97917.45</v>
      </c>
    </row>
    <row r="228" ht="15.75" customHeight="1">
      <c r="A228" s="2" t="s">
        <v>78</v>
      </c>
      <c r="B228" s="3">
        <v>45717.0</v>
      </c>
      <c r="C228" s="2" t="s">
        <v>15</v>
      </c>
      <c r="D228" s="2" t="s">
        <v>28</v>
      </c>
      <c r="E228" s="2">
        <v>42932.02</v>
      </c>
      <c r="F228" s="2">
        <v>3872.0</v>
      </c>
      <c r="G228" s="2">
        <v>0.171</v>
      </c>
      <c r="H228" s="2">
        <v>12.0</v>
      </c>
      <c r="I228" s="2">
        <v>83.2</v>
      </c>
      <c r="J228" s="2">
        <v>15.58</v>
      </c>
      <c r="K228" s="2">
        <v>0.0</v>
      </c>
      <c r="L228" s="2">
        <v>3.3</v>
      </c>
      <c r="M228" s="2">
        <v>527681.56</v>
      </c>
      <c r="N228" s="2">
        <v>63153.05</v>
      </c>
    </row>
    <row r="229" ht="15.75" customHeight="1">
      <c r="A229" s="2" t="s">
        <v>78</v>
      </c>
      <c r="B229" s="3">
        <v>45748.0</v>
      </c>
      <c r="C229" s="2" t="s">
        <v>15</v>
      </c>
      <c r="D229" s="2" t="s">
        <v>28</v>
      </c>
      <c r="E229" s="2">
        <v>39341.45</v>
      </c>
      <c r="F229" s="2">
        <v>1375.0</v>
      </c>
      <c r="G229" s="2">
        <v>0.093</v>
      </c>
      <c r="H229" s="2">
        <v>5.0</v>
      </c>
      <c r="I229" s="2">
        <v>95.0</v>
      </c>
      <c r="J229" s="2">
        <v>5.32</v>
      </c>
      <c r="K229" s="2">
        <v>0.0</v>
      </c>
      <c r="L229" s="2"/>
      <c r="M229" s="2">
        <v>529598.94</v>
      </c>
      <c r="N229" s="2">
        <v>84334.33</v>
      </c>
    </row>
    <row r="230" ht="15.75" customHeight="1">
      <c r="A230" s="2" t="s">
        <v>79</v>
      </c>
      <c r="B230" s="3">
        <v>45658.0</v>
      </c>
      <c r="C230" s="2" t="s">
        <v>15</v>
      </c>
      <c r="D230" s="2" t="s">
        <v>18</v>
      </c>
      <c r="E230" s="2">
        <v>37324.23</v>
      </c>
      <c r="F230" s="2">
        <v>5957.0</v>
      </c>
      <c r="G230" s="2">
        <v>0.071</v>
      </c>
      <c r="H230" s="2">
        <v>12.0</v>
      </c>
      <c r="I230" s="2">
        <v>85.9</v>
      </c>
      <c r="J230" s="2">
        <v>0.37</v>
      </c>
      <c r="K230" s="2">
        <v>0.0</v>
      </c>
      <c r="L230" s="2">
        <v>3.8</v>
      </c>
      <c r="M230" s="2">
        <v>570963.31</v>
      </c>
      <c r="N230" s="2">
        <v>87342.25</v>
      </c>
    </row>
    <row r="231" ht="15.75" customHeight="1">
      <c r="A231" s="2" t="s">
        <v>79</v>
      </c>
      <c r="B231" s="3">
        <v>45689.0</v>
      </c>
      <c r="C231" s="2" t="s">
        <v>15</v>
      </c>
      <c r="D231" s="2" t="s">
        <v>18</v>
      </c>
      <c r="E231" s="2">
        <v>113736.0</v>
      </c>
      <c r="F231" s="2">
        <v>8961.0</v>
      </c>
      <c r="G231" s="2">
        <v>0.202</v>
      </c>
      <c r="H231" s="2">
        <v>24.0</v>
      </c>
      <c r="I231" s="2">
        <v>86.2</v>
      </c>
      <c r="J231" s="2">
        <v>21.63</v>
      </c>
      <c r="K231" s="2">
        <v>0.0</v>
      </c>
      <c r="L231" s="2">
        <v>4.0</v>
      </c>
      <c r="M231" s="2">
        <v>870937.4</v>
      </c>
      <c r="N231" s="2">
        <v>175282.74</v>
      </c>
    </row>
    <row r="232" ht="15.75" customHeight="1">
      <c r="A232" s="2" t="s">
        <v>79</v>
      </c>
      <c r="B232" s="3">
        <v>45717.0</v>
      </c>
      <c r="C232" s="2" t="s">
        <v>15</v>
      </c>
      <c r="D232" s="2" t="s">
        <v>18</v>
      </c>
      <c r="E232" s="2">
        <v>33173.95</v>
      </c>
      <c r="F232" s="2">
        <v>6545.0</v>
      </c>
      <c r="G232" s="2">
        <v>0.169</v>
      </c>
      <c r="H232" s="2">
        <v>15.0</v>
      </c>
      <c r="I232" s="2">
        <v>84.4</v>
      </c>
      <c r="J232" s="2">
        <v>2.48</v>
      </c>
      <c r="K232" s="2">
        <v>0.0</v>
      </c>
      <c r="L232" s="2">
        <v>3.9</v>
      </c>
      <c r="M232" s="2">
        <v>596969.27</v>
      </c>
      <c r="N232" s="2">
        <v>105669.51</v>
      </c>
    </row>
    <row r="233" ht="15.75" customHeight="1">
      <c r="A233" s="2" t="s">
        <v>79</v>
      </c>
      <c r="B233" s="3">
        <v>45748.0</v>
      </c>
      <c r="C233" s="2" t="s">
        <v>15</v>
      </c>
      <c r="D233" s="2" t="s">
        <v>18</v>
      </c>
      <c r="E233" s="2">
        <v>25818.08</v>
      </c>
      <c r="F233" s="2">
        <v>5457.0</v>
      </c>
      <c r="G233" s="2">
        <v>0.0</v>
      </c>
      <c r="H233" s="2">
        <v>11.0</v>
      </c>
      <c r="I233" s="2">
        <v>95.4</v>
      </c>
      <c r="J233" s="2"/>
      <c r="K233" s="2">
        <v>0.0</v>
      </c>
      <c r="L233" s="2">
        <v>3.7</v>
      </c>
      <c r="M233" s="2">
        <v>647512.85</v>
      </c>
      <c r="N233" s="2">
        <v>153835.57</v>
      </c>
    </row>
    <row r="234" ht="15.75" customHeight="1">
      <c r="A234" s="2" t="s">
        <v>80</v>
      </c>
      <c r="B234" s="3">
        <v>45658.0</v>
      </c>
      <c r="C234" s="2" t="s">
        <v>27</v>
      </c>
      <c r="D234" s="2" t="s">
        <v>16</v>
      </c>
      <c r="E234" s="2">
        <v>47241.92</v>
      </c>
      <c r="F234" s="2">
        <v>4264.0</v>
      </c>
      <c r="G234" s="2">
        <v>0.069</v>
      </c>
      <c r="H234" s="2">
        <v>13.0</v>
      </c>
      <c r="I234" s="2">
        <v>95.3</v>
      </c>
      <c r="J234" s="2">
        <v>0.85</v>
      </c>
      <c r="K234" s="2">
        <v>0.0</v>
      </c>
      <c r="L234" s="2">
        <v>4.3</v>
      </c>
      <c r="M234" s="2">
        <v>658072.14</v>
      </c>
      <c r="N234" s="2">
        <v>110595.89</v>
      </c>
    </row>
    <row r="235" ht="15.75" customHeight="1">
      <c r="A235" s="2" t="s">
        <v>80</v>
      </c>
      <c r="B235" s="3">
        <v>45689.0</v>
      </c>
      <c r="C235" s="2" t="s">
        <v>27</v>
      </c>
      <c r="D235" s="2" t="s">
        <v>16</v>
      </c>
      <c r="E235" s="2">
        <v>61650.79</v>
      </c>
      <c r="F235" s="2">
        <v>5321.0</v>
      </c>
      <c r="G235" s="2">
        <v>0.126</v>
      </c>
      <c r="H235" s="2">
        <v>17.0</v>
      </c>
      <c r="I235" s="2">
        <v>89.2</v>
      </c>
      <c r="J235" s="2">
        <v>2.13</v>
      </c>
      <c r="K235" s="2">
        <v>0.0</v>
      </c>
      <c r="L235" s="2">
        <v>4.0</v>
      </c>
      <c r="M235" s="2">
        <v>723305.11</v>
      </c>
      <c r="N235" s="2">
        <v>128468.7</v>
      </c>
    </row>
    <row r="236" ht="15.75" customHeight="1">
      <c r="A236" s="2" t="s">
        <v>80</v>
      </c>
      <c r="B236" s="3">
        <v>45717.0</v>
      </c>
      <c r="C236" s="2" t="s">
        <v>27</v>
      </c>
      <c r="D236" s="2" t="s">
        <v>16</v>
      </c>
      <c r="E236" s="2">
        <v>62582.71</v>
      </c>
      <c r="F236" s="2">
        <v>5479.0</v>
      </c>
      <c r="G236" s="2">
        <v>0.048</v>
      </c>
      <c r="H236" s="2">
        <v>16.0</v>
      </c>
      <c r="I236" s="2">
        <v>81.2</v>
      </c>
      <c r="J236" s="2">
        <v>1.46</v>
      </c>
      <c r="K236" s="2">
        <v>0.0</v>
      </c>
      <c r="L236" s="2">
        <v>4.5</v>
      </c>
      <c r="M236" s="2">
        <v>640666.53</v>
      </c>
      <c r="N236" s="2">
        <v>134919.16</v>
      </c>
    </row>
    <row r="237" ht="15.75" customHeight="1">
      <c r="A237" s="2" t="s">
        <v>80</v>
      </c>
      <c r="B237" s="3">
        <v>45748.0</v>
      </c>
      <c r="C237" s="2" t="s">
        <v>27</v>
      </c>
      <c r="D237" s="2" t="s">
        <v>16</v>
      </c>
      <c r="E237" s="2">
        <v>47944.14</v>
      </c>
      <c r="F237" s="2">
        <v>6169.0</v>
      </c>
      <c r="G237" s="2">
        <v>0.119</v>
      </c>
      <c r="H237" s="2">
        <v>17.0</v>
      </c>
      <c r="I237" s="2">
        <v>92.2</v>
      </c>
      <c r="J237" s="2">
        <v>3.02</v>
      </c>
      <c r="K237" s="2">
        <v>0.0</v>
      </c>
      <c r="L237" s="2">
        <v>4.1</v>
      </c>
      <c r="M237" s="2">
        <v>670629.48</v>
      </c>
      <c r="N237" s="2">
        <v>100140.8</v>
      </c>
    </row>
    <row r="238" ht="15.75" customHeight="1">
      <c r="A238" s="2" t="s">
        <v>81</v>
      </c>
      <c r="B238" s="3">
        <v>45658.0</v>
      </c>
      <c r="C238" s="2" t="s">
        <v>27</v>
      </c>
      <c r="D238" s="2" t="s">
        <v>28</v>
      </c>
      <c r="E238" s="2">
        <v>46495.4</v>
      </c>
      <c r="F238" s="2">
        <v>9908.0</v>
      </c>
      <c r="G238" s="2">
        <v>0.121</v>
      </c>
      <c r="H238" s="2">
        <v>22.0</v>
      </c>
      <c r="I238" s="2">
        <v>89.4</v>
      </c>
      <c r="J238" s="2">
        <v>3.22</v>
      </c>
      <c r="K238" s="2">
        <v>0.0</v>
      </c>
      <c r="L238" s="2">
        <v>3.7</v>
      </c>
      <c r="M238" s="2">
        <v>721079.35</v>
      </c>
      <c r="N238" s="2">
        <v>115295.05</v>
      </c>
    </row>
    <row r="239" ht="15.75" customHeight="1">
      <c r="A239" s="2" t="s">
        <v>81</v>
      </c>
      <c r="B239" s="3">
        <v>45689.0</v>
      </c>
      <c r="C239" s="2" t="s">
        <v>27</v>
      </c>
      <c r="D239" s="2" t="s">
        <v>28</v>
      </c>
      <c r="E239" s="2">
        <v>72961.95</v>
      </c>
      <c r="F239" s="2">
        <v>9996.0</v>
      </c>
      <c r="G239" s="2">
        <v>0.106</v>
      </c>
      <c r="H239" s="2">
        <v>22.0</v>
      </c>
      <c r="I239" s="2">
        <v>89.1</v>
      </c>
      <c r="J239" s="2">
        <v>15.66</v>
      </c>
      <c r="K239" s="2">
        <v>0.0</v>
      </c>
      <c r="L239" s="2">
        <v>3.4</v>
      </c>
      <c r="M239" s="2">
        <v>810355.02</v>
      </c>
      <c r="N239" s="2">
        <v>131510.0</v>
      </c>
    </row>
    <row r="240" ht="15.75" customHeight="1">
      <c r="A240" s="2" t="s">
        <v>81</v>
      </c>
      <c r="B240" s="3">
        <v>45717.0</v>
      </c>
      <c r="C240" s="2" t="s">
        <v>27</v>
      </c>
      <c r="D240" s="2" t="s">
        <v>28</v>
      </c>
      <c r="E240" s="2">
        <v>59060.05</v>
      </c>
      <c r="F240" s="2">
        <v>9702.0</v>
      </c>
      <c r="G240" s="2">
        <v>0.201</v>
      </c>
      <c r="H240" s="2">
        <v>23.0</v>
      </c>
      <c r="I240" s="2">
        <v>80.9</v>
      </c>
      <c r="J240" s="2">
        <v>6.96</v>
      </c>
      <c r="K240" s="2">
        <v>0.0</v>
      </c>
      <c r="L240" s="2">
        <v>3.2</v>
      </c>
      <c r="M240" s="2">
        <v>761919.25</v>
      </c>
      <c r="N240" s="2">
        <v>111893.06</v>
      </c>
    </row>
    <row r="241" ht="15.75" customHeight="1">
      <c r="A241" s="2" t="s">
        <v>81</v>
      </c>
      <c r="B241" s="3">
        <v>45748.0</v>
      </c>
      <c r="C241" s="2" t="s">
        <v>27</v>
      </c>
      <c r="D241" s="2" t="s">
        <v>28</v>
      </c>
      <c r="E241" s="2">
        <v>26248.1</v>
      </c>
      <c r="F241" s="2">
        <v>9314.0</v>
      </c>
      <c r="G241" s="2">
        <v>0.186</v>
      </c>
      <c r="H241" s="2">
        <v>21.0</v>
      </c>
      <c r="I241" s="2">
        <v>83.7</v>
      </c>
      <c r="J241" s="2">
        <v>4.62</v>
      </c>
      <c r="K241" s="2">
        <v>0.0</v>
      </c>
      <c r="L241" s="2">
        <v>3.3</v>
      </c>
      <c r="M241" s="2">
        <v>737070.18</v>
      </c>
      <c r="N241" s="2">
        <v>117593.97</v>
      </c>
    </row>
    <row r="242" ht="15.75" customHeight="1">
      <c r="A242" s="2" t="s">
        <v>82</v>
      </c>
      <c r="B242" s="3">
        <v>45658.0</v>
      </c>
      <c r="C242" s="2" t="s">
        <v>24</v>
      </c>
      <c r="D242" s="2" t="s">
        <v>21</v>
      </c>
      <c r="E242" s="2">
        <v>69900.12</v>
      </c>
      <c r="F242" s="2">
        <v>8055.0</v>
      </c>
      <c r="G242" s="2">
        <v>0.281</v>
      </c>
      <c r="H242" s="2">
        <v>22.0</v>
      </c>
      <c r="I242" s="2">
        <v>85.6</v>
      </c>
      <c r="J242" s="2">
        <v>10.68</v>
      </c>
      <c r="K242" s="2">
        <v>1.0</v>
      </c>
      <c r="L242" s="2">
        <v>2.9</v>
      </c>
      <c r="M242" s="2">
        <v>776992.93</v>
      </c>
      <c r="N242" s="2">
        <v>101598.32</v>
      </c>
    </row>
    <row r="243" ht="15.75" customHeight="1">
      <c r="A243" s="2" t="s">
        <v>82</v>
      </c>
      <c r="B243" s="3">
        <v>45689.0</v>
      </c>
      <c r="C243" s="2" t="s">
        <v>24</v>
      </c>
      <c r="D243" s="2" t="s">
        <v>21</v>
      </c>
      <c r="E243" s="2">
        <v>51781.6</v>
      </c>
      <c r="F243" s="2">
        <v>5648.0</v>
      </c>
      <c r="G243" s="2">
        <v>0.059</v>
      </c>
      <c r="H243" s="2">
        <v>13.0</v>
      </c>
      <c r="I243" s="2">
        <v>85.5</v>
      </c>
      <c r="J243" s="2">
        <v>4.04</v>
      </c>
      <c r="K243" s="2">
        <v>0.0</v>
      </c>
      <c r="L243" s="2">
        <v>3.7</v>
      </c>
      <c r="M243" s="2">
        <v>676337.41</v>
      </c>
      <c r="N243" s="2">
        <v>104355.77</v>
      </c>
    </row>
    <row r="244" ht="15.75" customHeight="1">
      <c r="A244" s="2" t="s">
        <v>82</v>
      </c>
      <c r="B244" s="3">
        <v>45717.0</v>
      </c>
      <c r="C244" s="2" t="s">
        <v>24</v>
      </c>
      <c r="D244" s="2" t="s">
        <v>21</v>
      </c>
      <c r="E244" s="2">
        <v>70799.64</v>
      </c>
      <c r="F244" s="2">
        <v>10076.0</v>
      </c>
      <c r="G244" s="2">
        <v>0.152</v>
      </c>
      <c r="H244" s="2">
        <v>24.0</v>
      </c>
      <c r="I244" s="2">
        <v>84.8</v>
      </c>
      <c r="J244" s="2">
        <v>1.87</v>
      </c>
      <c r="K244" s="2">
        <v>0.0</v>
      </c>
      <c r="L244" s="2">
        <v>3.5</v>
      </c>
      <c r="M244" s="2">
        <v>828219.67</v>
      </c>
      <c r="N244" s="2">
        <v>179806.87</v>
      </c>
    </row>
    <row r="245" ht="15.75" customHeight="1">
      <c r="A245" s="2" t="s">
        <v>82</v>
      </c>
      <c r="B245" s="3">
        <v>45748.0</v>
      </c>
      <c r="C245" s="2" t="s">
        <v>24</v>
      </c>
      <c r="D245" s="2" t="s">
        <v>21</v>
      </c>
      <c r="E245" s="2">
        <v>53546.34</v>
      </c>
      <c r="F245" s="2">
        <v>8004.0</v>
      </c>
      <c r="G245" s="2">
        <v>0.0</v>
      </c>
      <c r="H245" s="2">
        <v>21.0</v>
      </c>
      <c r="I245" s="2">
        <v>95.2</v>
      </c>
      <c r="J245" s="2">
        <v>2.83</v>
      </c>
      <c r="K245" s="2">
        <v>0.0</v>
      </c>
      <c r="L245" s="2">
        <v>3.0</v>
      </c>
      <c r="M245" s="2">
        <v>763159.92</v>
      </c>
      <c r="N245" s="2">
        <v>177104.87</v>
      </c>
    </row>
    <row r="246" ht="15.75" customHeight="1">
      <c r="A246" s="2" t="s">
        <v>83</v>
      </c>
      <c r="B246" s="3">
        <v>45658.0</v>
      </c>
      <c r="C246" s="2" t="s">
        <v>15</v>
      </c>
      <c r="D246" s="2" t="s">
        <v>18</v>
      </c>
      <c r="E246" s="2">
        <v>76942.2</v>
      </c>
      <c r="F246" s="2">
        <v>8934.0</v>
      </c>
      <c r="G246" s="2">
        <v>0.084</v>
      </c>
      <c r="H246" s="2">
        <v>20.0</v>
      </c>
      <c r="I246" s="2">
        <v>91.0</v>
      </c>
      <c r="J246" s="2">
        <v>0.95</v>
      </c>
      <c r="K246" s="2">
        <v>0.0</v>
      </c>
      <c r="L246" s="2">
        <v>3.2</v>
      </c>
      <c r="M246" s="2">
        <v>802001.68</v>
      </c>
      <c r="N246" s="2">
        <v>159715.82</v>
      </c>
    </row>
    <row r="247" ht="15.75" customHeight="1">
      <c r="A247" s="2" t="s">
        <v>83</v>
      </c>
      <c r="B247" s="3">
        <v>45689.0</v>
      </c>
      <c r="C247" s="2" t="s">
        <v>15</v>
      </c>
      <c r="D247" s="2" t="s">
        <v>18</v>
      </c>
      <c r="E247" s="2">
        <v>48060.78</v>
      </c>
      <c r="F247" s="2">
        <v>8733.0</v>
      </c>
      <c r="G247" s="2">
        <v>0.0</v>
      </c>
      <c r="H247" s="2">
        <v>20.0</v>
      </c>
      <c r="I247" s="2">
        <v>89.9</v>
      </c>
      <c r="J247" s="2">
        <v>0.8</v>
      </c>
      <c r="K247" s="2">
        <v>0.0</v>
      </c>
      <c r="L247" s="2">
        <v>3.4</v>
      </c>
      <c r="M247" s="2">
        <v>750471.34</v>
      </c>
      <c r="N247" s="2">
        <v>133788.04</v>
      </c>
    </row>
    <row r="248" ht="15.75" customHeight="1">
      <c r="A248" s="2" t="s">
        <v>83</v>
      </c>
      <c r="B248" s="3">
        <v>45717.0</v>
      </c>
      <c r="C248" s="2" t="s">
        <v>15</v>
      </c>
      <c r="D248" s="2" t="s">
        <v>18</v>
      </c>
      <c r="E248" s="2">
        <v>57390.04</v>
      </c>
      <c r="F248" s="2">
        <v>7374.0</v>
      </c>
      <c r="G248" s="2">
        <v>0.21</v>
      </c>
      <c r="H248" s="2">
        <v>21.0</v>
      </c>
      <c r="I248" s="2">
        <v>91.8</v>
      </c>
      <c r="J248" s="2">
        <v>0.2</v>
      </c>
      <c r="K248" s="2">
        <v>0.0</v>
      </c>
      <c r="L248" s="2">
        <v>3.1</v>
      </c>
      <c r="M248" s="2">
        <v>679230.86</v>
      </c>
      <c r="N248" s="2">
        <v>106927.58</v>
      </c>
    </row>
    <row r="249" ht="15.75" customHeight="1">
      <c r="A249" s="2" t="s">
        <v>83</v>
      </c>
      <c r="B249" s="3">
        <v>45748.0</v>
      </c>
      <c r="C249" s="2" t="s">
        <v>15</v>
      </c>
      <c r="D249" s="2" t="s">
        <v>18</v>
      </c>
      <c r="E249" s="2">
        <v>21536.18</v>
      </c>
      <c r="F249" s="2">
        <v>8119.0</v>
      </c>
      <c r="G249" s="2">
        <v>0.227</v>
      </c>
      <c r="H249" s="2">
        <v>20.0</v>
      </c>
      <c r="I249" s="2">
        <v>90.4</v>
      </c>
      <c r="J249" s="2">
        <v>1.7</v>
      </c>
      <c r="K249" s="2">
        <v>0.0</v>
      </c>
      <c r="L249" s="2">
        <v>3.3</v>
      </c>
      <c r="M249" s="2">
        <v>679888.74</v>
      </c>
      <c r="N249" s="2">
        <v>83406.89</v>
      </c>
    </row>
    <row r="250" ht="15.75" customHeight="1">
      <c r="A250" s="2" t="s">
        <v>84</v>
      </c>
      <c r="B250" s="3">
        <v>45658.0</v>
      </c>
      <c r="C250" s="2" t="s">
        <v>20</v>
      </c>
      <c r="D250" s="2" t="s">
        <v>18</v>
      </c>
      <c r="E250" s="2">
        <v>40923.67</v>
      </c>
      <c r="F250" s="2">
        <v>3875.0</v>
      </c>
      <c r="G250" s="2">
        <v>0.15</v>
      </c>
      <c r="H250" s="2">
        <v>10.0</v>
      </c>
      <c r="I250" s="2">
        <v>96.1</v>
      </c>
      <c r="J250" s="2"/>
      <c r="K250" s="2">
        <v>0.0</v>
      </c>
      <c r="L250" s="2">
        <v>3.8</v>
      </c>
      <c r="M250" s="2">
        <v>606783.67</v>
      </c>
      <c r="N250" s="2">
        <v>74515.87</v>
      </c>
    </row>
    <row r="251" ht="15.75" customHeight="1">
      <c r="A251" s="2" t="s">
        <v>84</v>
      </c>
      <c r="B251" s="3">
        <v>45689.0</v>
      </c>
      <c r="C251" s="2" t="s">
        <v>20</v>
      </c>
      <c r="D251" s="2" t="s">
        <v>18</v>
      </c>
      <c r="E251" s="2">
        <v>72932.55</v>
      </c>
      <c r="F251" s="2">
        <v>5765.0</v>
      </c>
      <c r="G251" s="2">
        <v>0.026</v>
      </c>
      <c r="H251" s="2">
        <v>17.0</v>
      </c>
      <c r="I251" s="2">
        <v>81.8</v>
      </c>
      <c r="J251" s="2">
        <v>5.1</v>
      </c>
      <c r="K251" s="2">
        <v>0.0</v>
      </c>
      <c r="L251" s="2">
        <v>3.6</v>
      </c>
      <c r="M251" s="2">
        <v>642751.42</v>
      </c>
      <c r="N251" s="2">
        <v>131942.15</v>
      </c>
    </row>
    <row r="252" ht="15.75" customHeight="1">
      <c r="A252" s="2" t="s">
        <v>84</v>
      </c>
      <c r="B252" s="3">
        <v>45717.0</v>
      </c>
      <c r="C252" s="2" t="s">
        <v>20</v>
      </c>
      <c r="D252" s="2" t="s">
        <v>18</v>
      </c>
      <c r="E252" s="2">
        <v>38361.93</v>
      </c>
      <c r="F252" s="2">
        <v>6322.0</v>
      </c>
      <c r="G252" s="2">
        <v>0.273</v>
      </c>
      <c r="H252" s="2">
        <v>15.0</v>
      </c>
      <c r="I252" s="2">
        <v>88.4</v>
      </c>
      <c r="J252" s="2">
        <v>0.83</v>
      </c>
      <c r="K252" s="2">
        <v>0.0</v>
      </c>
      <c r="L252" s="2">
        <v>4.0</v>
      </c>
      <c r="M252" s="2">
        <v>647953.78</v>
      </c>
      <c r="N252" s="2">
        <v>118497.43</v>
      </c>
    </row>
    <row r="253" ht="15.75" customHeight="1">
      <c r="A253" s="2" t="s">
        <v>84</v>
      </c>
      <c r="B253" s="3">
        <v>45748.0</v>
      </c>
      <c r="C253" s="2" t="s">
        <v>20</v>
      </c>
      <c r="D253" s="2" t="s">
        <v>18</v>
      </c>
      <c r="E253" s="2">
        <v>97480.94</v>
      </c>
      <c r="F253" s="2">
        <v>6840.0</v>
      </c>
      <c r="G253" s="2">
        <v>0.087</v>
      </c>
      <c r="H253" s="2">
        <v>14.0</v>
      </c>
      <c r="I253" s="2">
        <v>79.2</v>
      </c>
      <c r="J253" s="2">
        <v>1.14</v>
      </c>
      <c r="K253" s="2">
        <v>0.0</v>
      </c>
      <c r="L253" s="2">
        <v>4.0</v>
      </c>
      <c r="M253" s="2">
        <v>729440.45</v>
      </c>
      <c r="N253" s="2">
        <v>87614.29</v>
      </c>
    </row>
    <row r="254" ht="15.75" customHeight="1">
      <c r="A254" s="2" t="s">
        <v>85</v>
      </c>
      <c r="B254" s="3">
        <v>45658.0</v>
      </c>
      <c r="C254" s="2" t="s">
        <v>24</v>
      </c>
      <c r="D254" s="2" t="s">
        <v>21</v>
      </c>
      <c r="E254" s="2">
        <v>81801.8</v>
      </c>
      <c r="F254" s="2">
        <v>6782.0</v>
      </c>
      <c r="G254" s="2">
        <v>0.05</v>
      </c>
      <c r="H254" s="2">
        <v>16.0</v>
      </c>
      <c r="I254" s="2">
        <v>99.0</v>
      </c>
      <c r="J254" s="2">
        <v>9.54</v>
      </c>
      <c r="K254" s="2">
        <v>0.0</v>
      </c>
      <c r="L254" s="2">
        <v>3.7</v>
      </c>
      <c r="M254" s="2">
        <v>764949.0</v>
      </c>
      <c r="N254" s="2">
        <v>148322.43</v>
      </c>
    </row>
    <row r="255" ht="15.75" customHeight="1">
      <c r="A255" s="2" t="s">
        <v>85</v>
      </c>
      <c r="B255" s="3">
        <v>45689.0</v>
      </c>
      <c r="C255" s="2" t="s">
        <v>24</v>
      </c>
      <c r="D255" s="2" t="s">
        <v>21</v>
      </c>
      <c r="E255" s="2">
        <v>63582.11</v>
      </c>
      <c r="F255" s="2">
        <v>6856.0</v>
      </c>
      <c r="G255" s="2">
        <v>0.074</v>
      </c>
      <c r="H255" s="2">
        <v>17.0</v>
      </c>
      <c r="I255" s="2">
        <v>89.5</v>
      </c>
      <c r="J255" s="2">
        <v>5.48</v>
      </c>
      <c r="K255" s="2">
        <v>0.0</v>
      </c>
      <c r="L255" s="2">
        <v>3.2</v>
      </c>
      <c r="M255" s="2">
        <v>799046.94</v>
      </c>
      <c r="N255" s="2">
        <v>144553.64</v>
      </c>
    </row>
    <row r="256" ht="15.75" customHeight="1">
      <c r="A256" s="2" t="s">
        <v>85</v>
      </c>
      <c r="B256" s="3">
        <v>45717.0</v>
      </c>
      <c r="C256" s="2" t="s">
        <v>24</v>
      </c>
      <c r="D256" s="2" t="s">
        <v>21</v>
      </c>
      <c r="E256" s="2">
        <v>75412.74</v>
      </c>
      <c r="F256" s="2">
        <v>5641.0</v>
      </c>
      <c r="G256" s="2">
        <v>0.059</v>
      </c>
      <c r="H256" s="2">
        <v>13.0</v>
      </c>
      <c r="I256" s="2">
        <v>87.9</v>
      </c>
      <c r="J256" s="2">
        <v>0.84</v>
      </c>
      <c r="K256" s="2">
        <v>0.0</v>
      </c>
      <c r="L256" s="2">
        <v>3.6</v>
      </c>
      <c r="M256" s="2">
        <v>720079.54</v>
      </c>
      <c r="N256" s="2">
        <v>119499.47</v>
      </c>
    </row>
    <row r="257" ht="15.75" customHeight="1">
      <c r="A257" s="2" t="s">
        <v>85</v>
      </c>
      <c r="B257" s="3">
        <v>45748.0</v>
      </c>
      <c r="C257" s="2" t="s">
        <v>24</v>
      </c>
      <c r="D257" s="2" t="s">
        <v>21</v>
      </c>
      <c r="E257" s="2">
        <v>36290.08</v>
      </c>
      <c r="F257" s="2">
        <v>5787.0</v>
      </c>
      <c r="G257" s="2">
        <v>0.0</v>
      </c>
      <c r="H257" s="2">
        <v>17.0</v>
      </c>
      <c r="I257" s="2">
        <v>88.3</v>
      </c>
      <c r="J257" s="2">
        <v>4.19</v>
      </c>
      <c r="K257" s="2">
        <v>0.0</v>
      </c>
      <c r="L257" s="2">
        <v>4.1</v>
      </c>
      <c r="M257" s="2">
        <v>612390.14</v>
      </c>
      <c r="N257" s="2">
        <v>108985.74</v>
      </c>
    </row>
    <row r="258" ht="15.75" customHeight="1">
      <c r="A258" s="2" t="s">
        <v>86</v>
      </c>
      <c r="B258" s="3">
        <v>45658.0</v>
      </c>
      <c r="C258" s="2" t="s">
        <v>24</v>
      </c>
      <c r="D258" s="2" t="s">
        <v>28</v>
      </c>
      <c r="E258" s="2">
        <v>65272.58</v>
      </c>
      <c r="F258" s="2">
        <v>8165.0</v>
      </c>
      <c r="G258" s="2">
        <v>0.051</v>
      </c>
      <c r="H258" s="2">
        <v>19.0</v>
      </c>
      <c r="I258" s="2">
        <v>87.8</v>
      </c>
      <c r="J258" s="2">
        <v>1.26</v>
      </c>
      <c r="K258" s="2">
        <v>1.0</v>
      </c>
      <c r="L258" s="2">
        <v>4.3</v>
      </c>
      <c r="M258" s="2">
        <v>840108.12</v>
      </c>
      <c r="N258" s="2">
        <v>126587.01</v>
      </c>
    </row>
    <row r="259" ht="15.75" customHeight="1">
      <c r="A259" s="2" t="s">
        <v>86</v>
      </c>
      <c r="B259" s="3">
        <v>45689.0</v>
      </c>
      <c r="C259" s="2" t="s">
        <v>24</v>
      </c>
      <c r="D259" s="2" t="s">
        <v>28</v>
      </c>
      <c r="E259" s="2">
        <v>28670.43</v>
      </c>
      <c r="F259" s="2">
        <v>7574.0</v>
      </c>
      <c r="G259" s="2">
        <v>0.114</v>
      </c>
      <c r="H259" s="2">
        <v>19.0</v>
      </c>
      <c r="I259" s="2">
        <v>82.7</v>
      </c>
      <c r="J259" s="2">
        <v>2.74</v>
      </c>
      <c r="K259" s="2">
        <v>0.0</v>
      </c>
      <c r="L259" s="2">
        <v>4.6</v>
      </c>
      <c r="M259" s="2">
        <v>697888.09</v>
      </c>
      <c r="N259" s="2">
        <v>116249.87</v>
      </c>
    </row>
    <row r="260" ht="15.75" customHeight="1">
      <c r="A260" s="2" t="s">
        <v>86</v>
      </c>
      <c r="B260" s="3">
        <v>45717.0</v>
      </c>
      <c r="C260" s="2" t="s">
        <v>24</v>
      </c>
      <c r="D260" s="2" t="s">
        <v>28</v>
      </c>
      <c r="E260" s="2">
        <v>44189.34</v>
      </c>
      <c r="F260" s="2">
        <v>8634.0</v>
      </c>
      <c r="G260" s="2">
        <v>0.143</v>
      </c>
      <c r="H260" s="2">
        <v>19.0</v>
      </c>
      <c r="I260" s="2">
        <v>87.5</v>
      </c>
      <c r="J260" s="2">
        <v>3.69</v>
      </c>
      <c r="K260" s="2">
        <v>0.0</v>
      </c>
      <c r="L260" s="2">
        <v>4.4</v>
      </c>
      <c r="M260" s="2">
        <v>746115.59</v>
      </c>
      <c r="N260" s="2">
        <v>94662.96</v>
      </c>
    </row>
    <row r="261" ht="15.75" customHeight="1">
      <c r="A261" s="2" t="s">
        <v>86</v>
      </c>
      <c r="B261" s="3">
        <v>45748.0</v>
      </c>
      <c r="C261" s="2" t="s">
        <v>24</v>
      </c>
      <c r="D261" s="2" t="s">
        <v>28</v>
      </c>
      <c r="E261" s="2">
        <v>38397.82</v>
      </c>
      <c r="F261" s="2">
        <v>7836.0</v>
      </c>
      <c r="G261" s="2">
        <v>0.007</v>
      </c>
      <c r="H261" s="2">
        <v>21.0</v>
      </c>
      <c r="I261" s="2">
        <v>92.2</v>
      </c>
      <c r="J261" s="2">
        <v>1.82</v>
      </c>
      <c r="K261" s="2">
        <v>0.0</v>
      </c>
      <c r="L261" s="2">
        <v>3.6</v>
      </c>
      <c r="M261" s="2">
        <v>776110.32</v>
      </c>
      <c r="N261" s="2">
        <v>139676.21</v>
      </c>
    </row>
    <row r="262" ht="15.75" customHeight="1">
      <c r="A262" s="2" t="s">
        <v>87</v>
      </c>
      <c r="B262" s="3">
        <v>45658.0</v>
      </c>
      <c r="C262" s="2" t="s">
        <v>27</v>
      </c>
      <c r="D262" s="2" t="s">
        <v>18</v>
      </c>
      <c r="E262" s="2">
        <v>14519.37</v>
      </c>
      <c r="F262" s="2">
        <v>3047.0</v>
      </c>
      <c r="G262" s="2">
        <v>0.135</v>
      </c>
      <c r="H262" s="2">
        <v>10.0</v>
      </c>
      <c r="I262" s="2">
        <v>90.3</v>
      </c>
      <c r="J262" s="2">
        <v>6.62</v>
      </c>
      <c r="K262" s="2">
        <v>0.0</v>
      </c>
      <c r="L262" s="2">
        <v>4.2</v>
      </c>
      <c r="M262" s="2">
        <v>528852.62</v>
      </c>
      <c r="N262" s="2">
        <v>68426.21</v>
      </c>
    </row>
    <row r="263" ht="15.75" customHeight="1">
      <c r="A263" s="2" t="s">
        <v>87</v>
      </c>
      <c r="B263" s="3">
        <v>45689.0</v>
      </c>
      <c r="C263" s="2" t="s">
        <v>27</v>
      </c>
      <c r="D263" s="2" t="s">
        <v>18</v>
      </c>
      <c r="E263" s="2">
        <v>43288.2</v>
      </c>
      <c r="F263" s="2">
        <v>4783.0</v>
      </c>
      <c r="G263" s="2">
        <v>0.169</v>
      </c>
      <c r="H263" s="2">
        <v>13.0</v>
      </c>
      <c r="I263" s="2">
        <v>87.3</v>
      </c>
      <c r="J263" s="2"/>
      <c r="K263" s="2">
        <v>0.0</v>
      </c>
      <c r="L263" s="2">
        <v>4.2</v>
      </c>
      <c r="M263" s="2">
        <v>605751.33</v>
      </c>
      <c r="N263" s="2">
        <v>60685.53</v>
      </c>
    </row>
    <row r="264" ht="15.75" customHeight="1">
      <c r="A264" s="2" t="s">
        <v>87</v>
      </c>
      <c r="B264" s="3">
        <v>45717.0</v>
      </c>
      <c r="C264" s="2" t="s">
        <v>27</v>
      </c>
      <c r="D264" s="2" t="s">
        <v>18</v>
      </c>
      <c r="E264" s="2">
        <v>51450.55</v>
      </c>
      <c r="F264" s="2">
        <v>4902.0</v>
      </c>
      <c r="G264" s="2">
        <v>0.086</v>
      </c>
      <c r="H264" s="2">
        <v>11.0</v>
      </c>
      <c r="I264" s="2">
        <v>83.7</v>
      </c>
      <c r="J264" s="2">
        <v>6.92</v>
      </c>
      <c r="K264" s="2">
        <v>1.0</v>
      </c>
      <c r="L264" s="2">
        <v>4.2</v>
      </c>
      <c r="M264" s="2">
        <v>677640.65</v>
      </c>
      <c r="N264" s="2">
        <v>111610.89</v>
      </c>
    </row>
    <row r="265" ht="15.75" customHeight="1">
      <c r="A265" s="2" t="s">
        <v>87</v>
      </c>
      <c r="B265" s="3">
        <v>45748.0</v>
      </c>
      <c r="C265" s="2" t="s">
        <v>27</v>
      </c>
      <c r="D265" s="2" t="s">
        <v>18</v>
      </c>
      <c r="E265" s="2">
        <v>58688.26</v>
      </c>
      <c r="F265" s="2">
        <v>4022.0</v>
      </c>
      <c r="G265" s="2">
        <v>0.217</v>
      </c>
      <c r="H265" s="2">
        <v>12.0</v>
      </c>
      <c r="I265" s="2">
        <v>93.8</v>
      </c>
      <c r="J265" s="2">
        <v>11.78</v>
      </c>
      <c r="K265" s="2">
        <v>0.0</v>
      </c>
      <c r="L265" s="2">
        <v>3.7</v>
      </c>
      <c r="M265" s="2">
        <v>636613.23</v>
      </c>
      <c r="N265" s="2">
        <v>78908.35</v>
      </c>
    </row>
    <row r="266" ht="15.75" customHeight="1">
      <c r="A266" s="2" t="s">
        <v>88</v>
      </c>
      <c r="B266" s="3">
        <v>45658.0</v>
      </c>
      <c r="C266" s="2" t="s">
        <v>15</v>
      </c>
      <c r="D266" s="2" t="s">
        <v>18</v>
      </c>
      <c r="E266" s="2">
        <v>58981.91</v>
      </c>
      <c r="F266" s="2">
        <v>7324.0</v>
      </c>
      <c r="G266" s="2">
        <v>0.094</v>
      </c>
      <c r="H266" s="2">
        <v>15.0</v>
      </c>
      <c r="I266" s="2">
        <v>95.8</v>
      </c>
      <c r="J266" s="2">
        <v>0.5</v>
      </c>
      <c r="K266" s="2">
        <v>0.0</v>
      </c>
      <c r="L266" s="2">
        <v>3.5</v>
      </c>
      <c r="M266" s="2">
        <v>708985.19</v>
      </c>
      <c r="N266" s="2">
        <v>125368.16</v>
      </c>
    </row>
    <row r="267" ht="15.75" customHeight="1">
      <c r="A267" s="2" t="s">
        <v>88</v>
      </c>
      <c r="B267" s="3">
        <v>45689.0</v>
      </c>
      <c r="C267" s="2" t="s">
        <v>15</v>
      </c>
      <c r="D267" s="2" t="s">
        <v>18</v>
      </c>
      <c r="E267" s="2">
        <v>73454.54</v>
      </c>
      <c r="F267" s="2">
        <v>8129.0</v>
      </c>
      <c r="G267" s="2">
        <v>0.211</v>
      </c>
      <c r="H267" s="2">
        <v>20.0</v>
      </c>
      <c r="I267" s="2">
        <v>85.2</v>
      </c>
      <c r="J267" s="2">
        <v>0.88</v>
      </c>
      <c r="K267" s="2">
        <v>0.0</v>
      </c>
      <c r="L267" s="2">
        <v>3.7</v>
      </c>
      <c r="M267" s="2">
        <v>767792.94</v>
      </c>
      <c r="N267" s="2">
        <v>96235.77</v>
      </c>
    </row>
    <row r="268" ht="15.75" customHeight="1">
      <c r="A268" s="2" t="s">
        <v>88</v>
      </c>
      <c r="B268" s="3">
        <v>45717.0</v>
      </c>
      <c r="C268" s="2" t="s">
        <v>15</v>
      </c>
      <c r="D268" s="2" t="s">
        <v>18</v>
      </c>
      <c r="E268" s="2">
        <v>56602.39</v>
      </c>
      <c r="F268" s="2">
        <v>7969.0</v>
      </c>
      <c r="G268" s="2">
        <v>0.17</v>
      </c>
      <c r="H268" s="2">
        <v>21.0</v>
      </c>
      <c r="I268" s="2">
        <v>88.3</v>
      </c>
      <c r="J268" s="2">
        <v>2.25</v>
      </c>
      <c r="K268" s="2">
        <v>0.0</v>
      </c>
      <c r="L268" s="2">
        <v>3.7</v>
      </c>
      <c r="M268" s="2">
        <v>745580.51</v>
      </c>
      <c r="N268" s="2">
        <v>116273.68</v>
      </c>
    </row>
    <row r="269" ht="15.75" customHeight="1">
      <c r="A269" s="2" t="s">
        <v>88</v>
      </c>
      <c r="B269" s="3">
        <v>45748.0</v>
      </c>
      <c r="C269" s="2" t="s">
        <v>15</v>
      </c>
      <c r="D269" s="2" t="s">
        <v>18</v>
      </c>
      <c r="E269" s="2">
        <v>67722.29</v>
      </c>
      <c r="F269" s="2">
        <v>7240.0</v>
      </c>
      <c r="G269" s="2">
        <v>0.026</v>
      </c>
      <c r="H269" s="2">
        <v>15.0</v>
      </c>
      <c r="I269" s="2">
        <v>92.9</v>
      </c>
      <c r="J269" s="2">
        <v>0.29</v>
      </c>
      <c r="K269" s="2">
        <v>0.0</v>
      </c>
      <c r="L269" s="2">
        <v>3.5</v>
      </c>
      <c r="M269" s="2">
        <v>762328.31</v>
      </c>
      <c r="N269" s="2">
        <v>159158.19</v>
      </c>
    </row>
    <row r="270" ht="15.75" customHeight="1">
      <c r="A270" s="2" t="s">
        <v>89</v>
      </c>
      <c r="B270" s="3">
        <v>45658.0</v>
      </c>
      <c r="C270" s="2" t="s">
        <v>15</v>
      </c>
      <c r="D270" s="2" t="s">
        <v>28</v>
      </c>
      <c r="E270" s="2">
        <v>48752.92</v>
      </c>
      <c r="F270" s="2">
        <v>8052.0</v>
      </c>
      <c r="G270" s="2">
        <v>0.106</v>
      </c>
      <c r="H270" s="2">
        <v>16.0</v>
      </c>
      <c r="I270" s="2">
        <v>94.9</v>
      </c>
      <c r="J270" s="2">
        <v>0.65</v>
      </c>
      <c r="K270" s="2">
        <v>0.0</v>
      </c>
      <c r="L270" s="2">
        <v>3.6</v>
      </c>
      <c r="M270" s="2">
        <v>660633.99</v>
      </c>
      <c r="N270" s="2">
        <v>118768.66</v>
      </c>
    </row>
    <row r="271" ht="15.75" customHeight="1">
      <c r="A271" s="2" t="s">
        <v>89</v>
      </c>
      <c r="B271" s="3">
        <v>45689.0</v>
      </c>
      <c r="C271" s="2" t="s">
        <v>15</v>
      </c>
      <c r="D271" s="2" t="s">
        <v>28</v>
      </c>
      <c r="E271" s="2">
        <v>23914.97</v>
      </c>
      <c r="F271" s="2">
        <v>8018.0</v>
      </c>
      <c r="G271" s="2">
        <v>0.139</v>
      </c>
      <c r="H271" s="2">
        <v>20.0</v>
      </c>
      <c r="I271" s="2">
        <v>89.0</v>
      </c>
      <c r="J271" s="2">
        <v>0.2</v>
      </c>
      <c r="K271" s="2">
        <v>0.0</v>
      </c>
      <c r="L271" s="2">
        <v>3.5</v>
      </c>
      <c r="M271" s="2">
        <v>739374.56</v>
      </c>
      <c r="N271" s="2">
        <v>121032.29</v>
      </c>
    </row>
    <row r="272" ht="15.75" customHeight="1">
      <c r="A272" s="2" t="s">
        <v>89</v>
      </c>
      <c r="B272" s="3">
        <v>45717.0</v>
      </c>
      <c r="C272" s="2" t="s">
        <v>15</v>
      </c>
      <c r="D272" s="2" t="s">
        <v>28</v>
      </c>
      <c r="E272" s="2">
        <v>61995.3</v>
      </c>
      <c r="F272" s="2">
        <v>10192.0</v>
      </c>
      <c r="G272" s="2">
        <v>0.198</v>
      </c>
      <c r="H272" s="2">
        <v>21.0</v>
      </c>
      <c r="I272" s="2">
        <v>87.6</v>
      </c>
      <c r="J272" s="2">
        <v>3.63</v>
      </c>
      <c r="K272" s="2">
        <v>1.0</v>
      </c>
      <c r="L272" s="2">
        <v>3.8</v>
      </c>
      <c r="M272" s="2">
        <v>799756.46</v>
      </c>
      <c r="N272" s="2">
        <v>105052.93</v>
      </c>
    </row>
    <row r="273" ht="15.75" customHeight="1">
      <c r="A273" s="2" t="s">
        <v>89</v>
      </c>
      <c r="B273" s="3">
        <v>45748.0</v>
      </c>
      <c r="C273" s="2" t="s">
        <v>15</v>
      </c>
      <c r="D273" s="2" t="s">
        <v>28</v>
      </c>
      <c r="E273" s="2">
        <v>29344.93</v>
      </c>
      <c r="F273" s="2">
        <v>7446.0</v>
      </c>
      <c r="G273" s="2">
        <v>0.111</v>
      </c>
      <c r="H273" s="2">
        <v>15.0</v>
      </c>
      <c r="I273" s="2">
        <v>86.2</v>
      </c>
      <c r="J273" s="2">
        <v>0.2</v>
      </c>
      <c r="K273" s="2">
        <v>0.0</v>
      </c>
      <c r="L273" s="2">
        <v>3.2</v>
      </c>
      <c r="M273" s="2">
        <v>593343.0</v>
      </c>
      <c r="N273" s="2">
        <v>82832.24</v>
      </c>
    </row>
    <row r="274" ht="15.75" customHeight="1">
      <c r="A274" s="2" t="s">
        <v>90</v>
      </c>
      <c r="B274" s="3">
        <v>45658.0</v>
      </c>
      <c r="C274" s="2" t="s">
        <v>27</v>
      </c>
      <c r="D274" s="2" t="s">
        <v>18</v>
      </c>
      <c r="E274" s="2">
        <v>50532.17</v>
      </c>
      <c r="F274" s="2">
        <v>5689.0</v>
      </c>
      <c r="G274" s="2">
        <v>0.052</v>
      </c>
      <c r="H274" s="2">
        <v>17.0</v>
      </c>
      <c r="I274" s="2">
        <v>85.6</v>
      </c>
      <c r="J274" s="2">
        <v>6.23</v>
      </c>
      <c r="K274" s="2">
        <v>0.0</v>
      </c>
      <c r="L274" s="2">
        <v>3.3</v>
      </c>
      <c r="M274" s="2">
        <v>645039.97</v>
      </c>
      <c r="N274" s="2">
        <v>83093.33</v>
      </c>
    </row>
    <row r="275" ht="15.75" customHeight="1">
      <c r="A275" s="2" t="s">
        <v>90</v>
      </c>
      <c r="B275" s="3">
        <v>45689.0</v>
      </c>
      <c r="C275" s="2" t="s">
        <v>27</v>
      </c>
      <c r="D275" s="2" t="s">
        <v>18</v>
      </c>
      <c r="E275" s="2">
        <v>17562.57</v>
      </c>
      <c r="F275" s="2">
        <v>3326.0</v>
      </c>
      <c r="G275" s="2">
        <v>0.153</v>
      </c>
      <c r="H275" s="2">
        <v>14.0</v>
      </c>
      <c r="I275" s="2">
        <v>88.1</v>
      </c>
      <c r="J275" s="2">
        <v>1.04</v>
      </c>
      <c r="K275" s="2">
        <v>0.0</v>
      </c>
      <c r="L275" s="2">
        <v>3.1</v>
      </c>
      <c r="M275" s="2">
        <v>561597.33</v>
      </c>
      <c r="N275" s="2">
        <v>75072.75</v>
      </c>
    </row>
    <row r="276" ht="15.75" customHeight="1">
      <c r="A276" s="2" t="s">
        <v>90</v>
      </c>
      <c r="B276" s="3">
        <v>45717.0</v>
      </c>
      <c r="C276" s="2" t="s">
        <v>27</v>
      </c>
      <c r="D276" s="2" t="s">
        <v>18</v>
      </c>
      <c r="E276" s="2">
        <v>47648.71</v>
      </c>
      <c r="F276" s="2">
        <v>5767.0</v>
      </c>
      <c r="G276" s="2">
        <v>0.141</v>
      </c>
      <c r="H276" s="2">
        <v>17.0</v>
      </c>
      <c r="I276" s="2">
        <v>89.8</v>
      </c>
      <c r="J276" s="2">
        <v>1.76</v>
      </c>
      <c r="K276" s="2">
        <v>0.0</v>
      </c>
      <c r="L276" s="2">
        <v>3.1</v>
      </c>
      <c r="M276" s="2">
        <v>635837.74</v>
      </c>
      <c r="N276" s="2">
        <v>114740.64</v>
      </c>
    </row>
    <row r="277" ht="15.75" customHeight="1">
      <c r="A277" s="2" t="s">
        <v>90</v>
      </c>
      <c r="B277" s="3">
        <v>45748.0</v>
      </c>
      <c r="C277" s="2" t="s">
        <v>27</v>
      </c>
      <c r="D277" s="2" t="s">
        <v>18</v>
      </c>
      <c r="E277" s="2">
        <v>38297.58</v>
      </c>
      <c r="F277" s="2">
        <v>5893.0</v>
      </c>
      <c r="G277" s="2">
        <v>0.247</v>
      </c>
      <c r="H277" s="2">
        <v>18.0</v>
      </c>
      <c r="I277" s="2">
        <v>77.6</v>
      </c>
      <c r="J277" s="2">
        <v>2.86</v>
      </c>
      <c r="K277" s="2">
        <v>0.0</v>
      </c>
      <c r="L277" s="2">
        <v>3.0</v>
      </c>
      <c r="M277" s="2">
        <v>686737.87</v>
      </c>
      <c r="N277" s="2">
        <v>83839.67</v>
      </c>
    </row>
    <row r="278" ht="15.75" customHeight="1">
      <c r="A278" s="2" t="s">
        <v>91</v>
      </c>
      <c r="B278" s="3">
        <v>45658.0</v>
      </c>
      <c r="C278" s="2" t="s">
        <v>24</v>
      </c>
      <c r="D278" s="2" t="s">
        <v>16</v>
      </c>
      <c r="E278" s="2">
        <v>61784.11</v>
      </c>
      <c r="F278" s="2">
        <v>8564.0</v>
      </c>
      <c r="G278" s="2">
        <v>0.13</v>
      </c>
      <c r="H278" s="2">
        <v>17.0</v>
      </c>
      <c r="I278" s="2">
        <v>87.4</v>
      </c>
      <c r="J278" s="2">
        <v>18.14</v>
      </c>
      <c r="K278" s="2">
        <v>1.0</v>
      </c>
      <c r="L278" s="2">
        <v>3.4</v>
      </c>
      <c r="M278" s="2">
        <v>673076.34</v>
      </c>
      <c r="N278" s="2">
        <v>93899.76</v>
      </c>
    </row>
    <row r="279" ht="15.75" customHeight="1">
      <c r="A279" s="2" t="s">
        <v>91</v>
      </c>
      <c r="B279" s="3">
        <v>45689.0</v>
      </c>
      <c r="C279" s="2" t="s">
        <v>24</v>
      </c>
      <c r="D279" s="2" t="s">
        <v>16</v>
      </c>
      <c r="E279" s="2">
        <v>36832.33</v>
      </c>
      <c r="F279" s="2">
        <v>8001.0</v>
      </c>
      <c r="G279" s="2">
        <v>0.0</v>
      </c>
      <c r="H279" s="2">
        <v>19.0</v>
      </c>
      <c r="I279" s="2">
        <v>88.7</v>
      </c>
      <c r="J279" s="2">
        <v>3.39</v>
      </c>
      <c r="K279" s="2">
        <v>0.0</v>
      </c>
      <c r="L279" s="2">
        <v>4.0</v>
      </c>
      <c r="M279" s="2">
        <v>738548.42</v>
      </c>
      <c r="N279" s="2">
        <v>134282.77</v>
      </c>
    </row>
    <row r="280" ht="15.75" customHeight="1">
      <c r="A280" s="2" t="s">
        <v>91</v>
      </c>
      <c r="B280" s="3">
        <v>45717.0</v>
      </c>
      <c r="C280" s="2" t="s">
        <v>24</v>
      </c>
      <c r="D280" s="2" t="s">
        <v>16</v>
      </c>
      <c r="E280" s="2">
        <v>48609.41</v>
      </c>
      <c r="F280" s="2">
        <v>9324.0</v>
      </c>
      <c r="G280" s="2">
        <v>0.213</v>
      </c>
      <c r="H280" s="2">
        <v>18.0</v>
      </c>
      <c r="I280" s="2">
        <v>86.5</v>
      </c>
      <c r="J280" s="2">
        <v>1.44</v>
      </c>
      <c r="K280" s="2">
        <v>0.0</v>
      </c>
      <c r="L280" s="2">
        <v>3.9</v>
      </c>
      <c r="M280" s="2">
        <v>756619.77</v>
      </c>
      <c r="N280" s="2">
        <v>112057.69</v>
      </c>
    </row>
    <row r="281" ht="15.75" customHeight="1">
      <c r="A281" s="2" t="s">
        <v>91</v>
      </c>
      <c r="B281" s="3">
        <v>45748.0</v>
      </c>
      <c r="C281" s="2" t="s">
        <v>24</v>
      </c>
      <c r="D281" s="2" t="s">
        <v>16</v>
      </c>
      <c r="E281" s="2">
        <v>70284.06</v>
      </c>
      <c r="F281" s="2">
        <v>9109.0</v>
      </c>
      <c r="G281" s="2">
        <v>0.004</v>
      </c>
      <c r="H281" s="2">
        <v>23.0</v>
      </c>
      <c r="I281" s="2">
        <v>87.0</v>
      </c>
      <c r="J281" s="2">
        <v>3.65</v>
      </c>
      <c r="K281" s="2">
        <v>0.0</v>
      </c>
      <c r="L281" s="2">
        <v>3.7</v>
      </c>
      <c r="M281" s="2">
        <v>761122.42</v>
      </c>
      <c r="N281" s="2">
        <v>149802.04</v>
      </c>
    </row>
    <row r="282" ht="15.75" customHeight="1">
      <c r="A282" s="2" t="s">
        <v>92</v>
      </c>
      <c r="B282" s="3">
        <v>45658.0</v>
      </c>
      <c r="C282" s="2" t="s">
        <v>24</v>
      </c>
      <c r="D282" s="2" t="s">
        <v>18</v>
      </c>
      <c r="E282" s="2">
        <v>45940.39</v>
      </c>
      <c r="F282" s="2">
        <v>4022.0</v>
      </c>
      <c r="G282" s="2">
        <v>0.069</v>
      </c>
      <c r="H282" s="2">
        <v>10.0</v>
      </c>
      <c r="I282" s="2">
        <v>83.0</v>
      </c>
      <c r="J282" s="2">
        <v>1.23</v>
      </c>
      <c r="K282" s="2">
        <v>1.0</v>
      </c>
      <c r="L282" s="2">
        <v>3.8</v>
      </c>
      <c r="M282" s="2">
        <v>524899.57</v>
      </c>
      <c r="N282" s="2">
        <v>63619.98</v>
      </c>
    </row>
    <row r="283" ht="15.75" customHeight="1">
      <c r="A283" s="2" t="s">
        <v>92</v>
      </c>
      <c r="B283" s="3">
        <v>45689.0</v>
      </c>
      <c r="C283" s="2" t="s">
        <v>24</v>
      </c>
      <c r="D283" s="2" t="s">
        <v>18</v>
      </c>
      <c r="E283" s="2">
        <v>34771.26</v>
      </c>
      <c r="F283" s="2">
        <v>4355.0</v>
      </c>
      <c r="G283" s="2">
        <v>0.051</v>
      </c>
      <c r="H283" s="2">
        <v>15.0</v>
      </c>
      <c r="I283" s="2">
        <v>87.9</v>
      </c>
      <c r="J283" s="2">
        <v>3.09</v>
      </c>
      <c r="K283" s="2">
        <v>0.0</v>
      </c>
      <c r="L283" s="2">
        <v>4.0</v>
      </c>
      <c r="M283" s="2">
        <v>555557.77</v>
      </c>
      <c r="N283" s="2">
        <v>86475.51</v>
      </c>
    </row>
    <row r="284" ht="15.75" customHeight="1">
      <c r="A284" s="2" t="s">
        <v>92</v>
      </c>
      <c r="B284" s="3">
        <v>45717.0</v>
      </c>
      <c r="C284" s="2" t="s">
        <v>24</v>
      </c>
      <c r="D284" s="2" t="s">
        <v>18</v>
      </c>
      <c r="E284" s="2">
        <v>66104.19</v>
      </c>
      <c r="F284" s="2">
        <v>5745.0</v>
      </c>
      <c r="G284" s="2">
        <v>0.07</v>
      </c>
      <c r="H284" s="2">
        <v>17.0</v>
      </c>
      <c r="I284" s="2">
        <v>95.8</v>
      </c>
      <c r="J284" s="2">
        <v>3.15</v>
      </c>
      <c r="K284" s="2">
        <v>0.0</v>
      </c>
      <c r="L284" s="2">
        <v>4.0</v>
      </c>
      <c r="M284" s="2">
        <v>714083.68</v>
      </c>
      <c r="N284" s="2">
        <v>127231.74</v>
      </c>
    </row>
    <row r="285" ht="15.75" customHeight="1">
      <c r="A285" s="2" t="s">
        <v>92</v>
      </c>
      <c r="B285" s="3">
        <v>45748.0</v>
      </c>
      <c r="C285" s="2" t="s">
        <v>24</v>
      </c>
      <c r="D285" s="2" t="s">
        <v>18</v>
      </c>
      <c r="E285" s="2">
        <v>18599.21</v>
      </c>
      <c r="F285" s="2">
        <v>3027.0</v>
      </c>
      <c r="G285" s="2">
        <v>0.122</v>
      </c>
      <c r="H285" s="2">
        <v>11.0</v>
      </c>
      <c r="I285" s="2">
        <v>80.9</v>
      </c>
      <c r="J285" s="2">
        <v>6.44</v>
      </c>
      <c r="K285" s="2">
        <v>0.0</v>
      </c>
      <c r="L285" s="2">
        <v>4.2</v>
      </c>
      <c r="M285" s="2">
        <v>497439.82</v>
      </c>
      <c r="N285" s="2">
        <v>93372.75</v>
      </c>
    </row>
    <row r="286" ht="15.75" customHeight="1">
      <c r="A286" s="2" t="s">
        <v>93</v>
      </c>
      <c r="B286" s="3">
        <v>45658.0</v>
      </c>
      <c r="C286" s="2" t="s">
        <v>27</v>
      </c>
      <c r="D286" s="2" t="s">
        <v>16</v>
      </c>
      <c r="E286" s="2">
        <v>60183.06</v>
      </c>
      <c r="F286" s="2">
        <v>5562.0</v>
      </c>
      <c r="G286" s="2">
        <v>0.009</v>
      </c>
      <c r="H286" s="2">
        <v>13.0</v>
      </c>
      <c r="I286" s="2">
        <v>86.3</v>
      </c>
      <c r="J286" s="2">
        <v>0.2</v>
      </c>
      <c r="K286" s="2">
        <v>1.0</v>
      </c>
      <c r="L286" s="2">
        <v>4.5</v>
      </c>
      <c r="M286" s="2">
        <v>636775.66</v>
      </c>
      <c r="N286" s="2">
        <v>122636.86</v>
      </c>
    </row>
    <row r="287" ht="15.75" customHeight="1">
      <c r="A287" s="2" t="s">
        <v>93</v>
      </c>
      <c r="B287" s="3">
        <v>45689.0</v>
      </c>
      <c r="C287" s="2" t="s">
        <v>27</v>
      </c>
      <c r="D287" s="2" t="s">
        <v>16</v>
      </c>
      <c r="E287" s="2">
        <v>74539.14</v>
      </c>
      <c r="F287" s="2">
        <v>4487.0</v>
      </c>
      <c r="G287" s="2">
        <v>0.14</v>
      </c>
      <c r="H287" s="2">
        <v>10.0</v>
      </c>
      <c r="I287" s="2">
        <v>90.4</v>
      </c>
      <c r="J287" s="2">
        <v>0.59</v>
      </c>
      <c r="K287" s="2">
        <v>0.0</v>
      </c>
      <c r="L287" s="2">
        <v>4.5</v>
      </c>
      <c r="M287" s="2">
        <v>633009.53</v>
      </c>
      <c r="N287" s="2">
        <v>123782.67</v>
      </c>
    </row>
    <row r="288" ht="15.75" customHeight="1">
      <c r="A288" s="2" t="s">
        <v>93</v>
      </c>
      <c r="B288" s="3">
        <v>45717.0</v>
      </c>
      <c r="C288" s="2" t="s">
        <v>27</v>
      </c>
      <c r="D288" s="2" t="s">
        <v>16</v>
      </c>
      <c r="E288" s="2">
        <v>55371.97</v>
      </c>
      <c r="F288" s="2">
        <v>4162.0</v>
      </c>
      <c r="G288" s="2">
        <v>0.183</v>
      </c>
      <c r="H288" s="2">
        <v>11.0</v>
      </c>
      <c r="I288" s="2">
        <v>92.0</v>
      </c>
      <c r="J288" s="2">
        <v>0.2</v>
      </c>
      <c r="K288" s="2">
        <v>1.0</v>
      </c>
      <c r="L288" s="2">
        <v>4.2</v>
      </c>
      <c r="M288" s="2">
        <v>609949.0</v>
      </c>
      <c r="N288" s="2">
        <v>126789.25</v>
      </c>
    </row>
    <row r="289" ht="15.75" customHeight="1">
      <c r="A289" s="2" t="s">
        <v>93</v>
      </c>
      <c r="B289" s="3">
        <v>45748.0</v>
      </c>
      <c r="C289" s="2" t="s">
        <v>27</v>
      </c>
      <c r="D289" s="2" t="s">
        <v>16</v>
      </c>
      <c r="E289" s="2">
        <v>40928.69</v>
      </c>
      <c r="F289" s="2">
        <v>4094.0</v>
      </c>
      <c r="G289" s="2">
        <v>0.174</v>
      </c>
      <c r="H289" s="2">
        <v>13.0</v>
      </c>
      <c r="I289" s="2">
        <v>82.4</v>
      </c>
      <c r="J289" s="2">
        <v>1.36</v>
      </c>
      <c r="K289" s="2">
        <v>0.0</v>
      </c>
      <c r="L289" s="2">
        <v>4.8</v>
      </c>
      <c r="M289" s="2">
        <v>548103.7</v>
      </c>
      <c r="N289" s="2">
        <v>99905.52</v>
      </c>
    </row>
    <row r="290" ht="15.75" customHeight="1">
      <c r="A290" s="2" t="s">
        <v>94</v>
      </c>
      <c r="B290" s="3">
        <v>45658.0</v>
      </c>
      <c r="C290" s="2" t="s">
        <v>15</v>
      </c>
      <c r="D290" s="2" t="s">
        <v>16</v>
      </c>
      <c r="E290" s="2">
        <v>70012.41</v>
      </c>
      <c r="F290" s="2">
        <v>8484.0</v>
      </c>
      <c r="G290" s="2">
        <v>0.273</v>
      </c>
      <c r="H290" s="2">
        <v>23.0</v>
      </c>
      <c r="I290" s="2">
        <v>72.9</v>
      </c>
      <c r="J290" s="2">
        <v>3.34</v>
      </c>
      <c r="K290" s="2">
        <v>0.0</v>
      </c>
      <c r="L290" s="2">
        <v>3.7</v>
      </c>
      <c r="M290" s="2">
        <v>729424.42</v>
      </c>
      <c r="N290" s="2">
        <v>75592.28</v>
      </c>
    </row>
    <row r="291" ht="15.75" customHeight="1">
      <c r="A291" s="2" t="s">
        <v>94</v>
      </c>
      <c r="B291" s="3">
        <v>45689.0</v>
      </c>
      <c r="C291" s="2" t="s">
        <v>15</v>
      </c>
      <c r="D291" s="2" t="s">
        <v>16</v>
      </c>
      <c r="E291" s="2">
        <v>68909.26</v>
      </c>
      <c r="F291" s="2">
        <v>7794.0</v>
      </c>
      <c r="G291" s="2">
        <v>0.284</v>
      </c>
      <c r="H291" s="2">
        <v>22.0</v>
      </c>
      <c r="I291" s="2">
        <v>89.0</v>
      </c>
      <c r="J291" s="2">
        <v>0.33</v>
      </c>
      <c r="K291" s="2">
        <v>0.0</v>
      </c>
      <c r="L291" s="2">
        <v>4.0</v>
      </c>
      <c r="M291" s="2">
        <v>696261.49</v>
      </c>
      <c r="N291" s="2">
        <v>72455.35</v>
      </c>
    </row>
    <row r="292" ht="15.75" customHeight="1">
      <c r="A292" s="2" t="s">
        <v>94</v>
      </c>
      <c r="B292" s="3">
        <v>45717.0</v>
      </c>
      <c r="C292" s="2" t="s">
        <v>15</v>
      </c>
      <c r="D292" s="2" t="s">
        <v>16</v>
      </c>
      <c r="E292" s="2">
        <v>56737.3</v>
      </c>
      <c r="F292" s="2">
        <v>8300.0</v>
      </c>
      <c r="G292" s="2">
        <v>0.032</v>
      </c>
      <c r="H292" s="2">
        <v>21.0</v>
      </c>
      <c r="I292" s="2">
        <v>83.2</v>
      </c>
      <c r="J292" s="2">
        <v>3.44</v>
      </c>
      <c r="K292" s="2">
        <v>1.0</v>
      </c>
      <c r="L292" s="2">
        <v>4.3</v>
      </c>
      <c r="M292" s="2">
        <v>813316.71</v>
      </c>
      <c r="N292" s="2">
        <v>110077.42</v>
      </c>
    </row>
    <row r="293" ht="15.75" customHeight="1">
      <c r="A293" s="2" t="s">
        <v>94</v>
      </c>
      <c r="B293" s="3">
        <v>45748.0</v>
      </c>
      <c r="C293" s="2" t="s">
        <v>15</v>
      </c>
      <c r="D293" s="2" t="s">
        <v>16</v>
      </c>
      <c r="E293" s="2">
        <v>54080.91</v>
      </c>
      <c r="F293" s="2">
        <v>7083.0</v>
      </c>
      <c r="G293" s="2">
        <v>0.0</v>
      </c>
      <c r="H293" s="2">
        <v>15.0</v>
      </c>
      <c r="I293" s="2">
        <v>97.0</v>
      </c>
      <c r="J293" s="2">
        <v>5.33</v>
      </c>
      <c r="K293" s="2">
        <v>0.0</v>
      </c>
      <c r="L293" s="2">
        <v>4.1</v>
      </c>
      <c r="M293" s="2">
        <v>702068.92</v>
      </c>
      <c r="N293" s="2">
        <v>111266.63</v>
      </c>
    </row>
    <row r="294" ht="15.75" customHeight="1">
      <c r="A294" s="2" t="s">
        <v>95</v>
      </c>
      <c r="B294" s="3">
        <v>45658.0</v>
      </c>
      <c r="C294" s="2" t="s">
        <v>27</v>
      </c>
      <c r="D294" s="2" t="s">
        <v>18</v>
      </c>
      <c r="E294" s="2">
        <v>51996.32</v>
      </c>
      <c r="F294" s="2">
        <v>3834.0</v>
      </c>
      <c r="G294" s="2">
        <v>0.096</v>
      </c>
      <c r="H294" s="2">
        <v>8.0</v>
      </c>
      <c r="I294" s="2">
        <v>86.7</v>
      </c>
      <c r="J294" s="2">
        <v>6.04</v>
      </c>
      <c r="K294" s="2">
        <v>0.0</v>
      </c>
      <c r="L294" s="2">
        <v>4.5</v>
      </c>
      <c r="M294" s="2">
        <v>546223.7</v>
      </c>
      <c r="N294" s="2">
        <v>100769.17</v>
      </c>
    </row>
    <row r="295" ht="15.75" customHeight="1">
      <c r="A295" s="2" t="s">
        <v>95</v>
      </c>
      <c r="B295" s="3">
        <v>45689.0</v>
      </c>
      <c r="C295" s="2" t="s">
        <v>27</v>
      </c>
      <c r="D295" s="2" t="s">
        <v>18</v>
      </c>
      <c r="E295" s="2">
        <v>40102.88</v>
      </c>
      <c r="F295" s="2">
        <v>2358.0</v>
      </c>
      <c r="G295" s="2">
        <v>0.119</v>
      </c>
      <c r="H295" s="2">
        <v>9.0</v>
      </c>
      <c r="I295" s="2">
        <v>88.7</v>
      </c>
      <c r="J295" s="2">
        <v>1.6</v>
      </c>
      <c r="K295" s="2">
        <v>0.0</v>
      </c>
      <c r="L295" s="2">
        <v>4.2</v>
      </c>
      <c r="M295" s="2">
        <v>533121.26</v>
      </c>
      <c r="N295" s="2">
        <v>55063.39</v>
      </c>
    </row>
    <row r="296" ht="15.75" customHeight="1">
      <c r="A296" s="2" t="s">
        <v>95</v>
      </c>
      <c r="B296" s="3">
        <v>45717.0</v>
      </c>
      <c r="C296" s="2" t="s">
        <v>27</v>
      </c>
      <c r="D296" s="2" t="s">
        <v>18</v>
      </c>
      <c r="E296" s="2">
        <v>59825.51</v>
      </c>
      <c r="F296" s="2">
        <v>1231.0</v>
      </c>
      <c r="G296" s="2">
        <v>0.214</v>
      </c>
      <c r="H296" s="2">
        <v>10.0</v>
      </c>
      <c r="I296" s="2">
        <v>84.8</v>
      </c>
      <c r="J296" s="2">
        <v>8.96</v>
      </c>
      <c r="K296" s="2">
        <v>0.0</v>
      </c>
      <c r="L296" s="2">
        <v>4.7</v>
      </c>
      <c r="M296" s="2">
        <v>498970.32</v>
      </c>
      <c r="N296" s="2">
        <v>69656.7</v>
      </c>
    </row>
    <row r="297" ht="15.75" customHeight="1">
      <c r="A297" s="2" t="s">
        <v>95</v>
      </c>
      <c r="B297" s="3">
        <v>45748.0</v>
      </c>
      <c r="C297" s="2" t="s">
        <v>27</v>
      </c>
      <c r="D297" s="2" t="s">
        <v>18</v>
      </c>
      <c r="E297" s="2">
        <v>27398.28</v>
      </c>
      <c r="F297" s="2">
        <v>1723.0</v>
      </c>
      <c r="G297" s="2">
        <v>0.171</v>
      </c>
      <c r="H297" s="2">
        <v>9.0</v>
      </c>
      <c r="I297" s="2">
        <v>81.0</v>
      </c>
      <c r="J297" s="2">
        <v>0.74</v>
      </c>
      <c r="K297" s="2">
        <v>0.0</v>
      </c>
      <c r="L297" s="2">
        <v>4.6</v>
      </c>
      <c r="M297" s="2">
        <v>487738.26</v>
      </c>
      <c r="N297" s="2">
        <v>96435.6</v>
      </c>
    </row>
    <row r="298" ht="15.75" customHeight="1">
      <c r="A298" s="2" t="s">
        <v>96</v>
      </c>
      <c r="B298" s="3">
        <v>45658.0</v>
      </c>
      <c r="C298" s="2" t="s">
        <v>27</v>
      </c>
      <c r="D298" s="2" t="s">
        <v>18</v>
      </c>
      <c r="E298" s="2">
        <v>55599.56</v>
      </c>
      <c r="F298" s="2">
        <v>5896.0</v>
      </c>
      <c r="G298" s="2">
        <v>0.036</v>
      </c>
      <c r="H298" s="2">
        <v>12.0</v>
      </c>
      <c r="I298" s="2">
        <v>93.1</v>
      </c>
      <c r="J298" s="2">
        <v>6.13</v>
      </c>
      <c r="K298" s="2">
        <v>0.0</v>
      </c>
      <c r="L298" s="2">
        <v>3.3</v>
      </c>
      <c r="M298" s="2">
        <v>668459.37</v>
      </c>
      <c r="N298" s="2">
        <v>126435.42</v>
      </c>
    </row>
    <row r="299" ht="15.75" customHeight="1">
      <c r="A299" s="2" t="s">
        <v>96</v>
      </c>
      <c r="B299" s="3">
        <v>45689.0</v>
      </c>
      <c r="C299" s="2" t="s">
        <v>27</v>
      </c>
      <c r="D299" s="2" t="s">
        <v>18</v>
      </c>
      <c r="E299" s="2">
        <v>55477.61</v>
      </c>
      <c r="F299" s="2">
        <v>5903.0</v>
      </c>
      <c r="G299" s="2">
        <v>0.102</v>
      </c>
      <c r="H299" s="2">
        <v>14.0</v>
      </c>
      <c r="I299" s="2">
        <v>96.2</v>
      </c>
      <c r="J299" s="2">
        <v>1.41</v>
      </c>
      <c r="K299" s="2">
        <v>0.0</v>
      </c>
      <c r="L299" s="2">
        <v>3.3</v>
      </c>
      <c r="M299" s="2">
        <v>763162.45</v>
      </c>
      <c r="N299" s="2">
        <v>162524.05</v>
      </c>
    </row>
    <row r="300" ht="15.75" customHeight="1">
      <c r="A300" s="2" t="s">
        <v>96</v>
      </c>
      <c r="B300" s="3">
        <v>45717.0</v>
      </c>
      <c r="C300" s="2" t="s">
        <v>27</v>
      </c>
      <c r="D300" s="2" t="s">
        <v>18</v>
      </c>
      <c r="E300" s="2">
        <v>46174.7</v>
      </c>
      <c r="F300" s="2">
        <v>4898.0</v>
      </c>
      <c r="G300" s="2">
        <v>0.114</v>
      </c>
      <c r="H300" s="2">
        <v>11.0</v>
      </c>
      <c r="I300" s="2">
        <v>91.7</v>
      </c>
      <c r="J300" s="2">
        <v>3.75</v>
      </c>
      <c r="K300" s="2">
        <v>0.0</v>
      </c>
      <c r="L300" s="2">
        <v>3.1</v>
      </c>
      <c r="M300" s="2">
        <v>599017.33</v>
      </c>
      <c r="N300" s="2">
        <v>134009.92</v>
      </c>
    </row>
    <row r="301" ht="15.75" customHeight="1">
      <c r="A301" s="2" t="s">
        <v>96</v>
      </c>
      <c r="B301" s="3">
        <v>45748.0</v>
      </c>
      <c r="C301" s="2" t="s">
        <v>27</v>
      </c>
      <c r="D301" s="2" t="s">
        <v>18</v>
      </c>
      <c r="E301" s="2">
        <v>24362.98</v>
      </c>
      <c r="F301" s="2">
        <v>1462.0</v>
      </c>
      <c r="G301" s="2">
        <v>0.117</v>
      </c>
      <c r="H301" s="2">
        <v>6.0</v>
      </c>
      <c r="I301" s="2">
        <v>89.3</v>
      </c>
      <c r="J301" s="2">
        <v>15.06</v>
      </c>
      <c r="K301" s="2">
        <v>0.0</v>
      </c>
      <c r="L301" s="2">
        <v>3.2</v>
      </c>
      <c r="M301" s="2">
        <v>401582.58</v>
      </c>
      <c r="N301" s="2">
        <v>68454.93</v>
      </c>
    </row>
    <row r="302" ht="15.75" customHeight="1">
      <c r="A302" s="2" t="s">
        <v>97</v>
      </c>
      <c r="B302" s="3">
        <v>45658.0</v>
      </c>
      <c r="C302" s="2" t="s">
        <v>20</v>
      </c>
      <c r="D302" s="2" t="s">
        <v>28</v>
      </c>
      <c r="E302" s="2">
        <v>40647.67</v>
      </c>
      <c r="F302" s="2">
        <v>8252.0</v>
      </c>
      <c r="G302" s="2">
        <v>0.141</v>
      </c>
      <c r="H302" s="2">
        <v>22.0</v>
      </c>
      <c r="I302" s="2">
        <v>88.2</v>
      </c>
      <c r="J302" s="2">
        <v>5.07</v>
      </c>
      <c r="K302" s="2">
        <v>1.0</v>
      </c>
      <c r="L302" s="2">
        <v>4.1</v>
      </c>
      <c r="M302" s="2">
        <v>703812.99</v>
      </c>
      <c r="N302" s="2">
        <v>133577.98</v>
      </c>
    </row>
    <row r="303" ht="15.75" customHeight="1">
      <c r="A303" s="2" t="s">
        <v>97</v>
      </c>
      <c r="B303" s="3">
        <v>45689.0</v>
      </c>
      <c r="C303" s="2" t="s">
        <v>20</v>
      </c>
      <c r="D303" s="2" t="s">
        <v>28</v>
      </c>
      <c r="E303" s="2">
        <v>63986.98</v>
      </c>
      <c r="F303" s="2">
        <v>7989.0</v>
      </c>
      <c r="G303" s="2">
        <v>0.074</v>
      </c>
      <c r="H303" s="2">
        <v>20.0</v>
      </c>
      <c r="I303" s="2">
        <v>83.3</v>
      </c>
      <c r="J303" s="2">
        <v>3.6</v>
      </c>
      <c r="K303" s="2">
        <v>0.0</v>
      </c>
      <c r="L303" s="2">
        <v>3.7</v>
      </c>
      <c r="M303" s="2">
        <v>724346.73</v>
      </c>
      <c r="N303" s="2">
        <v>155013.91</v>
      </c>
    </row>
    <row r="304" ht="15.75" customHeight="1">
      <c r="A304" s="2" t="s">
        <v>97</v>
      </c>
      <c r="B304" s="3">
        <v>45717.0</v>
      </c>
      <c r="C304" s="2" t="s">
        <v>20</v>
      </c>
      <c r="D304" s="2" t="s">
        <v>28</v>
      </c>
      <c r="E304" s="2">
        <v>52843.75</v>
      </c>
      <c r="F304" s="2">
        <v>8268.0</v>
      </c>
      <c r="G304" s="2">
        <v>0.138</v>
      </c>
      <c r="H304" s="2">
        <v>19.0</v>
      </c>
      <c r="I304" s="2">
        <v>87.3</v>
      </c>
      <c r="J304" s="2">
        <v>4.39</v>
      </c>
      <c r="K304" s="2">
        <v>1.0</v>
      </c>
      <c r="L304" s="2">
        <v>4.7</v>
      </c>
      <c r="M304" s="2">
        <v>730890.01</v>
      </c>
      <c r="N304" s="2">
        <v>105502.56</v>
      </c>
    </row>
    <row r="305" ht="15.75" customHeight="1">
      <c r="A305" s="2" t="s">
        <v>97</v>
      </c>
      <c r="B305" s="3">
        <v>45748.0</v>
      </c>
      <c r="C305" s="2" t="s">
        <v>20</v>
      </c>
      <c r="D305" s="2" t="s">
        <v>28</v>
      </c>
      <c r="E305" s="2">
        <v>31997.25</v>
      </c>
      <c r="F305" s="2">
        <v>8183.0</v>
      </c>
      <c r="G305" s="2">
        <v>0.198</v>
      </c>
      <c r="H305" s="2">
        <v>18.0</v>
      </c>
      <c r="I305" s="2">
        <v>93.0</v>
      </c>
      <c r="J305" s="2">
        <v>2.79</v>
      </c>
      <c r="K305" s="2">
        <v>0.0</v>
      </c>
      <c r="L305" s="2">
        <v>4.2</v>
      </c>
      <c r="M305" s="2">
        <v>780580.95</v>
      </c>
      <c r="N305" s="2">
        <v>138144.46</v>
      </c>
    </row>
    <row r="306" ht="15.75" customHeight="1">
      <c r="A306" s="2" t="s">
        <v>98</v>
      </c>
      <c r="B306" s="3">
        <v>45658.0</v>
      </c>
      <c r="C306" s="2" t="s">
        <v>24</v>
      </c>
      <c r="D306" s="2" t="s">
        <v>16</v>
      </c>
      <c r="E306" s="2">
        <v>54948.02</v>
      </c>
      <c r="F306" s="2">
        <v>6534.0</v>
      </c>
      <c r="G306" s="2">
        <v>0.183</v>
      </c>
      <c r="H306" s="2">
        <v>14.0</v>
      </c>
      <c r="I306" s="2">
        <v>94.5</v>
      </c>
      <c r="J306" s="2">
        <v>1.56</v>
      </c>
      <c r="K306" s="2">
        <v>0.0</v>
      </c>
      <c r="L306" s="2">
        <v>4.0</v>
      </c>
      <c r="M306" s="2">
        <v>727957.48</v>
      </c>
      <c r="N306" s="2">
        <v>74805.23</v>
      </c>
    </row>
    <row r="307" ht="15.75" customHeight="1">
      <c r="A307" s="2" t="s">
        <v>98</v>
      </c>
      <c r="B307" s="3">
        <v>45689.0</v>
      </c>
      <c r="C307" s="2" t="s">
        <v>24</v>
      </c>
      <c r="D307" s="2" t="s">
        <v>16</v>
      </c>
      <c r="E307" s="2">
        <v>46146.24</v>
      </c>
      <c r="F307" s="2">
        <v>5804.0</v>
      </c>
      <c r="G307" s="2">
        <v>0.047</v>
      </c>
      <c r="H307" s="2">
        <v>16.0</v>
      </c>
      <c r="I307" s="2">
        <v>86.9</v>
      </c>
      <c r="J307" s="2">
        <v>15.82</v>
      </c>
      <c r="K307" s="2">
        <v>0.0</v>
      </c>
      <c r="L307" s="2">
        <v>3.8</v>
      </c>
      <c r="M307" s="2">
        <v>538376.0</v>
      </c>
      <c r="N307" s="2">
        <v>87605.62</v>
      </c>
    </row>
    <row r="308" ht="15.75" customHeight="1">
      <c r="A308" s="2" t="s">
        <v>98</v>
      </c>
      <c r="B308" s="3">
        <v>45717.0</v>
      </c>
      <c r="C308" s="2" t="s">
        <v>24</v>
      </c>
      <c r="D308" s="2" t="s">
        <v>16</v>
      </c>
      <c r="E308" s="2">
        <v>22387.26</v>
      </c>
      <c r="F308" s="2">
        <v>6301.0</v>
      </c>
      <c r="G308" s="2">
        <v>0.146</v>
      </c>
      <c r="H308" s="2">
        <v>14.0</v>
      </c>
      <c r="I308" s="2">
        <v>85.9</v>
      </c>
      <c r="J308" s="2">
        <v>1.17</v>
      </c>
      <c r="K308" s="2">
        <v>1.0</v>
      </c>
      <c r="L308" s="2">
        <v>3.7</v>
      </c>
      <c r="M308" s="2">
        <v>665342.49</v>
      </c>
      <c r="N308" s="2">
        <v>93441.81</v>
      </c>
    </row>
    <row r="309" ht="15.75" customHeight="1">
      <c r="A309" s="2" t="s">
        <v>98</v>
      </c>
      <c r="B309" s="3">
        <v>45748.0</v>
      </c>
      <c r="C309" s="2" t="s">
        <v>24</v>
      </c>
      <c r="D309" s="2" t="s">
        <v>16</v>
      </c>
      <c r="E309" s="2">
        <v>60684.05</v>
      </c>
      <c r="F309" s="2">
        <v>6399.0</v>
      </c>
      <c r="G309" s="2">
        <v>0.075</v>
      </c>
      <c r="H309" s="2">
        <v>16.0</v>
      </c>
      <c r="I309" s="2">
        <v>99.0</v>
      </c>
      <c r="J309" s="2">
        <v>3.82</v>
      </c>
      <c r="K309" s="2">
        <v>0.0</v>
      </c>
      <c r="L309" s="2">
        <v>3.5</v>
      </c>
      <c r="M309" s="2">
        <v>651164.18</v>
      </c>
      <c r="N309" s="2">
        <v>109466.5</v>
      </c>
    </row>
    <row r="310" ht="15.75" customHeight="1">
      <c r="A310" s="2" t="s">
        <v>99</v>
      </c>
      <c r="B310" s="3">
        <v>45658.0</v>
      </c>
      <c r="C310" s="2" t="s">
        <v>24</v>
      </c>
      <c r="D310" s="2" t="s">
        <v>18</v>
      </c>
      <c r="E310" s="2">
        <v>48465.6</v>
      </c>
      <c r="F310" s="2">
        <v>5759.0</v>
      </c>
      <c r="G310" s="2">
        <v>0.154</v>
      </c>
      <c r="H310" s="2">
        <v>13.0</v>
      </c>
      <c r="I310" s="2">
        <v>87.5</v>
      </c>
      <c r="J310" s="2">
        <v>4.14</v>
      </c>
      <c r="K310" s="2">
        <v>0.0</v>
      </c>
      <c r="L310" s="2">
        <v>4.0</v>
      </c>
      <c r="M310" s="2">
        <v>628538.3</v>
      </c>
      <c r="N310" s="2">
        <v>112509.15</v>
      </c>
    </row>
    <row r="311" ht="15.75" customHeight="1">
      <c r="A311" s="2" t="s">
        <v>99</v>
      </c>
      <c r="B311" s="3">
        <v>45689.0</v>
      </c>
      <c r="C311" s="2" t="s">
        <v>24</v>
      </c>
      <c r="D311" s="2" t="s">
        <v>18</v>
      </c>
      <c r="E311" s="2">
        <v>23702.38</v>
      </c>
      <c r="F311" s="2">
        <v>5285.0</v>
      </c>
      <c r="G311" s="2">
        <v>0.167</v>
      </c>
      <c r="H311" s="2">
        <v>14.0</v>
      </c>
      <c r="I311" s="2">
        <v>79.7</v>
      </c>
      <c r="J311" s="2">
        <v>1.1</v>
      </c>
      <c r="K311" s="2">
        <v>0.0</v>
      </c>
      <c r="L311" s="2">
        <v>4.3</v>
      </c>
      <c r="M311" s="2">
        <v>536524.84</v>
      </c>
      <c r="N311" s="2">
        <v>92752.94</v>
      </c>
    </row>
    <row r="312" ht="15.75" customHeight="1">
      <c r="A312" s="2" t="s">
        <v>99</v>
      </c>
      <c r="B312" s="3">
        <v>45717.0</v>
      </c>
      <c r="C312" s="2" t="s">
        <v>24</v>
      </c>
      <c r="D312" s="2" t="s">
        <v>18</v>
      </c>
      <c r="E312" s="2">
        <v>54322.94</v>
      </c>
      <c r="F312" s="2">
        <v>5434.0</v>
      </c>
      <c r="G312" s="2">
        <v>0.2</v>
      </c>
      <c r="H312" s="2">
        <v>13.0</v>
      </c>
      <c r="I312" s="2">
        <v>85.7</v>
      </c>
      <c r="J312" s="2">
        <v>10.6</v>
      </c>
      <c r="K312" s="2">
        <v>0.0</v>
      </c>
      <c r="L312" s="2">
        <v>4.2</v>
      </c>
      <c r="M312" s="2">
        <v>621677.3</v>
      </c>
      <c r="N312" s="2">
        <v>105192.52</v>
      </c>
    </row>
    <row r="313" ht="15.75" customHeight="1">
      <c r="A313" s="2" t="s">
        <v>99</v>
      </c>
      <c r="B313" s="3">
        <v>45748.0</v>
      </c>
      <c r="C313" s="2" t="s">
        <v>24</v>
      </c>
      <c r="D313" s="2" t="s">
        <v>18</v>
      </c>
      <c r="E313" s="2">
        <v>86026.58</v>
      </c>
      <c r="F313" s="2">
        <v>7479.0</v>
      </c>
      <c r="G313" s="2">
        <v>0.142</v>
      </c>
      <c r="H313" s="2">
        <v>20.0</v>
      </c>
      <c r="I313" s="2">
        <v>89.0</v>
      </c>
      <c r="J313" s="2">
        <v>0.9</v>
      </c>
      <c r="K313" s="2">
        <v>0.0</v>
      </c>
      <c r="L313" s="2"/>
      <c r="M313" s="2">
        <v>771129.07</v>
      </c>
      <c r="N313" s="2">
        <v>116851.13</v>
      </c>
    </row>
    <row r="314" ht="15.75" customHeight="1">
      <c r="A314" s="2" t="s">
        <v>100</v>
      </c>
      <c r="B314" s="3">
        <v>45658.0</v>
      </c>
      <c r="C314" s="2" t="s">
        <v>20</v>
      </c>
      <c r="D314" s="2" t="s">
        <v>16</v>
      </c>
      <c r="E314" s="2">
        <v>78967.52</v>
      </c>
      <c r="F314" s="2">
        <v>6164.0</v>
      </c>
      <c r="G314" s="2">
        <v>0.021</v>
      </c>
      <c r="H314" s="2">
        <v>16.0</v>
      </c>
      <c r="I314" s="2">
        <v>85.5</v>
      </c>
      <c r="J314" s="2">
        <v>0.2</v>
      </c>
      <c r="K314" s="2">
        <v>0.0</v>
      </c>
      <c r="L314" s="2">
        <v>3.4</v>
      </c>
      <c r="M314" s="2">
        <v>702052.47</v>
      </c>
      <c r="N314" s="2">
        <v>121732.51</v>
      </c>
    </row>
    <row r="315" ht="15.75" customHeight="1">
      <c r="A315" s="2" t="s">
        <v>100</v>
      </c>
      <c r="B315" s="3">
        <v>45689.0</v>
      </c>
      <c r="C315" s="2" t="s">
        <v>20</v>
      </c>
      <c r="D315" s="2" t="s">
        <v>16</v>
      </c>
      <c r="E315" s="2">
        <v>46767.99</v>
      </c>
      <c r="F315" s="2">
        <v>7973.0</v>
      </c>
      <c r="G315" s="2">
        <v>0.183</v>
      </c>
      <c r="H315" s="2">
        <v>18.0</v>
      </c>
      <c r="I315" s="2">
        <v>94.8</v>
      </c>
      <c r="J315" s="2">
        <v>4.67</v>
      </c>
      <c r="K315" s="2">
        <v>0.0</v>
      </c>
      <c r="L315" s="2"/>
      <c r="M315" s="2">
        <v>688368.46</v>
      </c>
      <c r="N315" s="2">
        <v>93588.42</v>
      </c>
    </row>
    <row r="316" ht="15.75" customHeight="1">
      <c r="A316" s="2" t="s">
        <v>100</v>
      </c>
      <c r="B316" s="3">
        <v>45717.0</v>
      </c>
      <c r="C316" s="2" t="s">
        <v>20</v>
      </c>
      <c r="D316" s="2" t="s">
        <v>16</v>
      </c>
      <c r="E316" s="2">
        <v>62507.16</v>
      </c>
      <c r="F316" s="2">
        <v>6000.0</v>
      </c>
      <c r="G316" s="2">
        <v>0.091</v>
      </c>
      <c r="H316" s="2">
        <v>14.0</v>
      </c>
      <c r="I316" s="2">
        <v>98.2</v>
      </c>
      <c r="J316" s="2">
        <v>4.38</v>
      </c>
      <c r="K316" s="2">
        <v>1.0</v>
      </c>
      <c r="L316" s="2">
        <v>3.9</v>
      </c>
      <c r="M316" s="2">
        <v>712375.77</v>
      </c>
      <c r="N316" s="2">
        <v>104171.53</v>
      </c>
    </row>
    <row r="317" ht="15.75" customHeight="1">
      <c r="A317" s="2" t="s">
        <v>100</v>
      </c>
      <c r="B317" s="3">
        <v>45748.0</v>
      </c>
      <c r="C317" s="2" t="s">
        <v>20</v>
      </c>
      <c r="D317" s="2" t="s">
        <v>16</v>
      </c>
      <c r="E317" s="2">
        <v>66456.28</v>
      </c>
      <c r="F317" s="2">
        <v>9967.0</v>
      </c>
      <c r="G317" s="2">
        <v>0.108</v>
      </c>
      <c r="H317" s="2">
        <v>20.0</v>
      </c>
      <c r="I317" s="2">
        <v>94.7</v>
      </c>
      <c r="J317" s="2">
        <v>4.48</v>
      </c>
      <c r="K317" s="2">
        <v>0.0</v>
      </c>
      <c r="L317" s="2">
        <v>4.2</v>
      </c>
      <c r="M317" s="2">
        <v>844710.67</v>
      </c>
      <c r="N317" s="2">
        <v>137140.18</v>
      </c>
    </row>
    <row r="318" ht="15.75" customHeight="1">
      <c r="A318" s="2" t="s">
        <v>101</v>
      </c>
      <c r="B318" s="3">
        <v>45658.0</v>
      </c>
      <c r="C318" s="2" t="s">
        <v>15</v>
      </c>
      <c r="D318" s="2" t="s">
        <v>16</v>
      </c>
      <c r="E318" s="2">
        <v>76614.32</v>
      </c>
      <c r="F318" s="2">
        <v>5639.0</v>
      </c>
      <c r="G318" s="2">
        <v>0.174</v>
      </c>
      <c r="H318" s="2">
        <v>15.0</v>
      </c>
      <c r="I318" s="2">
        <v>92.9</v>
      </c>
      <c r="J318" s="2">
        <v>1.02</v>
      </c>
      <c r="K318" s="2">
        <v>1.0</v>
      </c>
      <c r="L318" s="2">
        <v>4.0</v>
      </c>
      <c r="M318" s="2">
        <v>620264.2</v>
      </c>
      <c r="N318" s="2">
        <v>91365.64</v>
      </c>
    </row>
    <row r="319" ht="15.75" customHeight="1">
      <c r="A319" s="2" t="s">
        <v>101</v>
      </c>
      <c r="B319" s="3">
        <v>45689.0</v>
      </c>
      <c r="C319" s="2" t="s">
        <v>15</v>
      </c>
      <c r="D319" s="2" t="s">
        <v>16</v>
      </c>
      <c r="E319" s="2">
        <v>24088.06</v>
      </c>
      <c r="F319" s="2">
        <v>3466.0</v>
      </c>
      <c r="G319" s="2">
        <v>0.0</v>
      </c>
      <c r="H319" s="2">
        <v>11.0</v>
      </c>
      <c r="I319" s="2">
        <v>88.0</v>
      </c>
      <c r="J319" s="2">
        <v>0.2</v>
      </c>
      <c r="K319" s="2">
        <v>0.0</v>
      </c>
      <c r="L319" s="2">
        <v>3.8</v>
      </c>
      <c r="M319" s="2">
        <v>536845.42</v>
      </c>
      <c r="N319" s="2">
        <v>107473.75</v>
      </c>
    </row>
    <row r="320" ht="15.75" customHeight="1">
      <c r="A320" s="2" t="s">
        <v>101</v>
      </c>
      <c r="B320" s="3">
        <v>45717.0</v>
      </c>
      <c r="C320" s="2" t="s">
        <v>15</v>
      </c>
      <c r="D320" s="2" t="s">
        <v>16</v>
      </c>
      <c r="E320" s="2">
        <v>81902.58</v>
      </c>
      <c r="F320" s="2">
        <v>7775.0</v>
      </c>
      <c r="G320" s="2">
        <v>0.215</v>
      </c>
      <c r="H320" s="2">
        <v>20.0</v>
      </c>
      <c r="I320" s="2">
        <v>85.2</v>
      </c>
      <c r="J320" s="2">
        <v>4.89</v>
      </c>
      <c r="K320" s="2">
        <v>1.0</v>
      </c>
      <c r="L320" s="2">
        <v>4.2</v>
      </c>
      <c r="M320" s="2">
        <v>726776.22</v>
      </c>
      <c r="N320" s="2">
        <v>90804.49</v>
      </c>
    </row>
    <row r="321" ht="15.75" customHeight="1">
      <c r="A321" s="2" t="s">
        <v>101</v>
      </c>
      <c r="B321" s="3">
        <v>45748.0</v>
      </c>
      <c r="C321" s="2" t="s">
        <v>15</v>
      </c>
      <c r="D321" s="2" t="s">
        <v>16</v>
      </c>
      <c r="E321" s="2">
        <v>40553.11</v>
      </c>
      <c r="F321" s="2">
        <v>5317.0</v>
      </c>
      <c r="G321" s="2">
        <v>0.165</v>
      </c>
      <c r="H321" s="2">
        <v>17.0</v>
      </c>
      <c r="I321" s="2">
        <v>84.3</v>
      </c>
      <c r="J321" s="2">
        <v>11.82</v>
      </c>
      <c r="K321" s="2">
        <v>0.0</v>
      </c>
      <c r="L321" s="2">
        <v>4.1</v>
      </c>
      <c r="M321" s="2">
        <v>559660.84</v>
      </c>
      <c r="N321" s="2">
        <v>71443.61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4" width="16.0"/>
    <col customWidth="1" min="15" max="15" width="10.25"/>
    <col customWidth="1" min="16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102</v>
      </c>
      <c r="P1" s="4" t="s">
        <v>103</v>
      </c>
      <c r="Q1" s="4" t="s">
        <v>104</v>
      </c>
    </row>
    <row r="2">
      <c r="A2" s="2" t="s">
        <v>14</v>
      </c>
      <c r="B2" s="3">
        <v>45658.0</v>
      </c>
      <c r="C2" s="2" t="s">
        <v>15</v>
      </c>
      <c r="D2" s="2" t="s">
        <v>16</v>
      </c>
      <c r="E2" s="2">
        <v>70389.11</v>
      </c>
      <c r="F2" s="2">
        <v>8302.0</v>
      </c>
      <c r="G2" s="2">
        <v>0.042</v>
      </c>
      <c r="H2" s="2">
        <v>17.0</v>
      </c>
      <c r="I2" s="2">
        <v>75.0</v>
      </c>
      <c r="J2" s="2">
        <v>5.28</v>
      </c>
      <c r="K2" s="2">
        <v>1.0</v>
      </c>
      <c r="L2" s="2">
        <v>3.1</v>
      </c>
      <c r="M2" s="2">
        <v>658832.62</v>
      </c>
      <c r="N2" s="2">
        <v>84349.93</v>
      </c>
      <c r="O2" s="4" t="s">
        <v>4</v>
      </c>
      <c r="P2" s="4" t="s">
        <v>5</v>
      </c>
      <c r="Q2" s="4" t="s">
        <v>12</v>
      </c>
    </row>
    <row r="3">
      <c r="A3" s="2" t="s">
        <v>14</v>
      </c>
      <c r="B3" s="3">
        <v>45689.0</v>
      </c>
      <c r="C3" s="2" t="s">
        <v>15</v>
      </c>
      <c r="D3" s="2" t="s">
        <v>16</v>
      </c>
      <c r="E3" s="2">
        <v>43827.89</v>
      </c>
      <c r="F3" s="2">
        <v>8487.0</v>
      </c>
      <c r="G3" s="2">
        <v>0.168</v>
      </c>
      <c r="H3" s="2">
        <v>23.0</v>
      </c>
      <c r="I3" s="2">
        <v>84.4</v>
      </c>
      <c r="J3" s="2">
        <v>4.31</v>
      </c>
      <c r="K3" s="2">
        <v>0.0</v>
      </c>
      <c r="L3" s="2">
        <v>2.8</v>
      </c>
      <c r="M3" s="2">
        <v>634436.0</v>
      </c>
      <c r="N3" s="2">
        <v>106130.54</v>
      </c>
      <c r="O3" s="5">
        <f t="shared" ref="O3:P3" si="1">QUARTILE(E2:E1001,1)</f>
        <v>43645.98</v>
      </c>
      <c r="P3" s="5">
        <f t="shared" si="1"/>
        <v>4509</v>
      </c>
      <c r="Q3" s="5">
        <f>QUARTILE(M2:M1001,1)</f>
        <v>607898.12</v>
      </c>
    </row>
    <row r="4">
      <c r="A4" s="2" t="s">
        <v>14</v>
      </c>
      <c r="B4" s="3">
        <v>45717.0</v>
      </c>
      <c r="C4" s="2" t="s">
        <v>15</v>
      </c>
      <c r="D4" s="2" t="s">
        <v>16</v>
      </c>
      <c r="E4" s="2">
        <v>59921.75</v>
      </c>
      <c r="F4" s="2">
        <v>9113.0</v>
      </c>
      <c r="G4" s="2">
        <v>0.133</v>
      </c>
      <c r="H4" s="2">
        <v>20.0</v>
      </c>
      <c r="I4" s="2">
        <v>88.0</v>
      </c>
      <c r="J4" s="2">
        <v>12.0</v>
      </c>
      <c r="K4" s="2">
        <v>0.0</v>
      </c>
      <c r="L4" s="2">
        <v>3.2</v>
      </c>
      <c r="M4" s="2">
        <v>678722.06</v>
      </c>
      <c r="N4" s="2">
        <v>101883.86</v>
      </c>
      <c r="O4" s="5">
        <f t="shared" ref="O4:P4" si="2">QUARTILE(E2:E1001,3)</f>
        <v>68148.52</v>
      </c>
      <c r="P4" s="5">
        <f t="shared" si="2"/>
        <v>8487</v>
      </c>
      <c r="Q4" s="5">
        <f>QUARTILE(M2:M1001,3)</f>
        <v>753473.55</v>
      </c>
    </row>
    <row r="5">
      <c r="A5" s="2" t="s">
        <v>14</v>
      </c>
      <c r="B5" s="3">
        <v>45748.0</v>
      </c>
      <c r="C5" s="2" t="s">
        <v>15</v>
      </c>
      <c r="D5" s="2" t="s">
        <v>16</v>
      </c>
      <c r="E5" s="2">
        <v>56856.63</v>
      </c>
      <c r="F5" s="2">
        <v>9431.0</v>
      </c>
      <c r="G5" s="2">
        <v>0.142</v>
      </c>
      <c r="H5" s="2">
        <v>23.0</v>
      </c>
      <c r="I5" s="2">
        <v>86.9</v>
      </c>
      <c r="J5" s="2">
        <v>4.97</v>
      </c>
      <c r="K5" s="2">
        <v>0.0</v>
      </c>
      <c r="L5" s="2">
        <v>3.4</v>
      </c>
      <c r="M5" s="2">
        <v>658920.3</v>
      </c>
      <c r="N5" s="2">
        <v>97910.37</v>
      </c>
      <c r="O5" s="5">
        <f t="shared" ref="O5:Q5" si="3">O4-O3</f>
        <v>24502.54</v>
      </c>
      <c r="P5" s="5">
        <f t="shared" si="3"/>
        <v>3978</v>
      </c>
      <c r="Q5" s="5">
        <f t="shared" si="3"/>
        <v>145575.43</v>
      </c>
    </row>
    <row r="6">
      <c r="A6" s="2" t="s">
        <v>17</v>
      </c>
      <c r="B6" s="3">
        <v>45658.0</v>
      </c>
      <c r="C6" s="2" t="s">
        <v>15</v>
      </c>
      <c r="D6" s="2" t="s">
        <v>18</v>
      </c>
      <c r="E6" s="2">
        <v>48412.64</v>
      </c>
      <c r="F6" s="2">
        <v>9545.0</v>
      </c>
      <c r="G6" s="2">
        <v>0.231</v>
      </c>
      <c r="H6" s="2">
        <v>21.0</v>
      </c>
      <c r="I6" s="2">
        <v>97.6</v>
      </c>
      <c r="J6" s="2">
        <v>6.94</v>
      </c>
      <c r="K6" s="2">
        <v>1.0</v>
      </c>
      <c r="L6" s="2">
        <v>4.2</v>
      </c>
      <c r="M6" s="2">
        <v>741341.44</v>
      </c>
      <c r="N6" s="2">
        <v>119208.17</v>
      </c>
      <c r="O6" s="5">
        <f t="shared" ref="O6:Q6" si="4">O3-1.5*O5</f>
        <v>6892.17</v>
      </c>
      <c r="P6" s="5">
        <f t="shared" si="4"/>
        <v>-1458</v>
      </c>
      <c r="Q6" s="5">
        <f t="shared" si="4"/>
        <v>389534.975</v>
      </c>
    </row>
    <row r="7">
      <c r="A7" s="2" t="s">
        <v>17</v>
      </c>
      <c r="B7" s="3">
        <v>45689.0</v>
      </c>
      <c r="C7" s="2" t="s">
        <v>15</v>
      </c>
      <c r="D7" s="2" t="s">
        <v>18</v>
      </c>
      <c r="E7" s="2">
        <v>64811.21</v>
      </c>
      <c r="F7" s="2">
        <v>9792.0</v>
      </c>
      <c r="G7" s="2">
        <v>0.112</v>
      </c>
      <c r="H7" s="2">
        <v>20.0</v>
      </c>
      <c r="I7" s="2">
        <v>84.2</v>
      </c>
      <c r="J7" s="2">
        <v>2.88</v>
      </c>
      <c r="K7" s="2">
        <v>0.0</v>
      </c>
      <c r="L7" s="2">
        <v>4.2</v>
      </c>
      <c r="M7" s="2">
        <v>761835.34</v>
      </c>
      <c r="N7" s="2">
        <v>149602.23</v>
      </c>
      <c r="O7" s="5">
        <f t="shared" ref="O7:Q7" si="5">O4+1.5*O5</f>
        <v>104902.33</v>
      </c>
      <c r="P7" s="5">
        <f t="shared" si="5"/>
        <v>14454</v>
      </c>
      <c r="Q7" s="5">
        <f t="shared" si="5"/>
        <v>971836.695</v>
      </c>
    </row>
    <row r="8">
      <c r="A8" s="2" t="s">
        <v>17</v>
      </c>
      <c r="B8" s="3">
        <v>45717.0</v>
      </c>
      <c r="C8" s="2" t="s">
        <v>15</v>
      </c>
      <c r="D8" s="2" t="s">
        <v>18</v>
      </c>
      <c r="E8" s="2">
        <v>46213.45</v>
      </c>
      <c r="F8" s="2">
        <v>10616.0</v>
      </c>
      <c r="G8" s="2">
        <v>0.122</v>
      </c>
      <c r="H8" s="2">
        <v>22.0</v>
      </c>
      <c r="I8" s="2">
        <v>85.2</v>
      </c>
      <c r="J8" s="2">
        <v>0.2</v>
      </c>
      <c r="K8" s="2">
        <v>1.0</v>
      </c>
      <c r="L8" s="2">
        <v>4.1</v>
      </c>
      <c r="M8" s="2">
        <v>806615.54</v>
      </c>
      <c r="N8" s="2">
        <v>131364.62</v>
      </c>
      <c r="O8" s="5" t="str">
        <f t="shared" ref="O8:P8" si="6">IF(OR(E2&lt;O6,E2&gt;O7),"Outlier","Normal")</f>
        <v>Normal</v>
      </c>
      <c r="P8" s="5" t="str">
        <f t="shared" si="6"/>
        <v>Normal</v>
      </c>
      <c r="Q8" s="5" t="str">
        <f>IF(OR(M2&lt;Q6,M2&gt;Q7),"Outlier","Normal")</f>
        <v>Normal</v>
      </c>
    </row>
    <row r="9">
      <c r="A9" s="2" t="s">
        <v>17</v>
      </c>
      <c r="B9" s="3">
        <v>45748.0</v>
      </c>
      <c r="C9" s="2" t="s">
        <v>15</v>
      </c>
      <c r="D9" s="2" t="s">
        <v>18</v>
      </c>
      <c r="E9" s="2">
        <v>68148.52</v>
      </c>
      <c r="F9" s="2">
        <v>8567.0</v>
      </c>
      <c r="G9" s="2">
        <v>0.127</v>
      </c>
      <c r="H9" s="2">
        <v>23.0</v>
      </c>
      <c r="I9" s="2">
        <v>95.6</v>
      </c>
      <c r="J9" s="2">
        <v>0.8</v>
      </c>
      <c r="K9" s="2">
        <v>0.0</v>
      </c>
      <c r="L9" s="2">
        <v>3.9</v>
      </c>
      <c r="M9" s="2">
        <v>850164.26</v>
      </c>
      <c r="N9" s="2">
        <v>149262.75</v>
      </c>
    </row>
    <row r="10">
      <c r="A10" s="2" t="s">
        <v>19</v>
      </c>
      <c r="B10" s="3">
        <v>45658.0</v>
      </c>
      <c r="C10" s="2" t="s">
        <v>20</v>
      </c>
      <c r="D10" s="2" t="s">
        <v>21</v>
      </c>
      <c r="E10" s="2">
        <v>71838.86</v>
      </c>
      <c r="F10" s="2">
        <v>10979.0</v>
      </c>
      <c r="G10" s="2">
        <v>0.215</v>
      </c>
      <c r="H10" s="2">
        <v>26.0</v>
      </c>
      <c r="I10" s="2">
        <v>88.6</v>
      </c>
      <c r="J10" s="2">
        <v>7.7</v>
      </c>
      <c r="K10" s="2">
        <v>1.0</v>
      </c>
      <c r="L10" s="2">
        <v>3.8</v>
      </c>
      <c r="M10" s="2">
        <v>930581.7</v>
      </c>
      <c r="N10" s="2">
        <v>136207.98</v>
      </c>
    </row>
    <row r="11">
      <c r="A11" s="2" t="s">
        <v>19</v>
      </c>
      <c r="B11" s="3">
        <v>45689.0</v>
      </c>
      <c r="C11" s="2" t="s">
        <v>20</v>
      </c>
      <c r="D11" s="2" t="s">
        <v>21</v>
      </c>
      <c r="E11" s="2">
        <v>68133.44</v>
      </c>
      <c r="F11" s="2">
        <v>9459.0</v>
      </c>
      <c r="G11" s="2">
        <v>0.22</v>
      </c>
      <c r="H11" s="2">
        <v>21.0</v>
      </c>
      <c r="I11" s="2">
        <v>85.0</v>
      </c>
      <c r="J11" s="2">
        <v>1.91</v>
      </c>
      <c r="K11" s="2">
        <v>0.0</v>
      </c>
      <c r="L11" s="2">
        <v>4.2</v>
      </c>
      <c r="M11" s="2">
        <v>779010.94</v>
      </c>
      <c r="N11" s="2">
        <v>106328.09</v>
      </c>
      <c r="P11" s="5">
        <f>IF(C2="North",1,0)</f>
        <v>0</v>
      </c>
    </row>
    <row r="12">
      <c r="A12" s="2" t="s">
        <v>19</v>
      </c>
      <c r="B12" s="3">
        <v>45717.0</v>
      </c>
      <c r="C12" s="2" t="s">
        <v>20</v>
      </c>
      <c r="D12" s="2" t="s">
        <v>21</v>
      </c>
      <c r="E12" s="2">
        <v>34285.21</v>
      </c>
      <c r="F12" s="2">
        <v>9172.0</v>
      </c>
      <c r="G12" s="2">
        <v>0.213</v>
      </c>
      <c r="H12" s="2">
        <v>22.0</v>
      </c>
      <c r="I12" s="2">
        <v>88.3</v>
      </c>
      <c r="J12" s="2">
        <v>10.46</v>
      </c>
      <c r="K12" s="2">
        <v>1.0</v>
      </c>
      <c r="L12" s="2">
        <v>3.8</v>
      </c>
      <c r="M12" s="2">
        <v>723060.76</v>
      </c>
      <c r="N12" s="2">
        <v>123131.24</v>
      </c>
      <c r="P12" s="5">
        <f>IF(C2="South",1,0)</f>
        <v>0</v>
      </c>
    </row>
    <row r="13">
      <c r="A13" s="2" t="s">
        <v>19</v>
      </c>
      <c r="B13" s="3">
        <v>45748.0</v>
      </c>
      <c r="C13" s="2" t="s">
        <v>20</v>
      </c>
      <c r="D13" s="2" t="s">
        <v>21</v>
      </c>
      <c r="E13" s="2">
        <v>67979.88</v>
      </c>
      <c r="F13" s="2">
        <v>11230.0</v>
      </c>
      <c r="G13" s="2">
        <v>0.002</v>
      </c>
      <c r="H13" s="2">
        <v>28.0</v>
      </c>
      <c r="I13" s="2">
        <v>85.3</v>
      </c>
      <c r="J13" s="2">
        <v>7.16</v>
      </c>
      <c r="K13" s="2">
        <v>0.0</v>
      </c>
      <c r="L13" s="2">
        <v>3.8</v>
      </c>
      <c r="M13" s="2">
        <v>910791.94</v>
      </c>
      <c r="N13" s="2">
        <v>158891.28</v>
      </c>
      <c r="P13" s="5">
        <f>IF(C2="East",1,0)</f>
        <v>1</v>
      </c>
    </row>
    <row r="14">
      <c r="A14" s="2" t="s">
        <v>22</v>
      </c>
      <c r="B14" s="3">
        <v>45658.0</v>
      </c>
      <c r="C14" s="2" t="s">
        <v>15</v>
      </c>
      <c r="D14" s="2" t="s">
        <v>16</v>
      </c>
      <c r="E14" s="2">
        <v>71828.26</v>
      </c>
      <c r="F14" s="2">
        <v>12775.0</v>
      </c>
      <c r="G14" s="2">
        <v>0.116</v>
      </c>
      <c r="H14" s="2">
        <v>30.0</v>
      </c>
      <c r="I14" s="2">
        <v>81.7</v>
      </c>
      <c r="J14" s="2">
        <v>4.24</v>
      </c>
      <c r="K14" s="2">
        <v>1.0</v>
      </c>
      <c r="L14" s="2">
        <v>4.2</v>
      </c>
      <c r="M14" s="2">
        <v>922168.6</v>
      </c>
      <c r="N14" s="2">
        <v>107494.53</v>
      </c>
    </row>
    <row r="15">
      <c r="A15" s="2" t="s">
        <v>22</v>
      </c>
      <c r="B15" s="3">
        <v>45689.0</v>
      </c>
      <c r="C15" s="2" t="s">
        <v>15</v>
      </c>
      <c r="D15" s="2" t="s">
        <v>16</v>
      </c>
      <c r="E15" s="2">
        <v>55716.82</v>
      </c>
      <c r="F15" s="2">
        <v>10054.0</v>
      </c>
      <c r="G15" s="2">
        <v>0.146</v>
      </c>
      <c r="H15" s="2">
        <v>24.0</v>
      </c>
      <c r="I15" s="2">
        <v>84.9</v>
      </c>
      <c r="J15" s="2">
        <v>1.06</v>
      </c>
      <c r="K15" s="2">
        <v>0.0</v>
      </c>
      <c r="L15" s="2">
        <v>4.3</v>
      </c>
      <c r="M15" s="2">
        <v>726606.28</v>
      </c>
      <c r="N15" s="2">
        <v>122729.29</v>
      </c>
    </row>
    <row r="16">
      <c r="A16" s="2" t="s">
        <v>22</v>
      </c>
      <c r="B16" s="3">
        <v>45717.0</v>
      </c>
      <c r="C16" s="2" t="s">
        <v>15</v>
      </c>
      <c r="D16" s="2" t="s">
        <v>16</v>
      </c>
      <c r="E16" s="2">
        <v>59909.51</v>
      </c>
      <c r="F16" s="2">
        <v>8895.0</v>
      </c>
      <c r="G16" s="2">
        <v>0.228</v>
      </c>
      <c r="H16" s="2">
        <v>23.0</v>
      </c>
      <c r="I16" s="2">
        <v>88.8</v>
      </c>
      <c r="J16" s="2">
        <v>0.27</v>
      </c>
      <c r="K16" s="2">
        <v>0.0</v>
      </c>
      <c r="L16" s="2">
        <v>4.3</v>
      </c>
      <c r="M16" s="2">
        <v>746501.09</v>
      </c>
      <c r="N16" s="2">
        <v>136816.72</v>
      </c>
    </row>
    <row r="17">
      <c r="A17" s="2" t="s">
        <v>22</v>
      </c>
      <c r="B17" s="3">
        <v>45748.0</v>
      </c>
      <c r="C17" s="2" t="s">
        <v>15</v>
      </c>
      <c r="D17" s="2" t="s">
        <v>16</v>
      </c>
      <c r="E17" s="2">
        <v>75305.71</v>
      </c>
      <c r="F17" s="2">
        <v>10940.0</v>
      </c>
      <c r="G17" s="2">
        <v>0.006</v>
      </c>
      <c r="H17" s="2">
        <v>26.0</v>
      </c>
      <c r="I17" s="2">
        <v>76.5</v>
      </c>
      <c r="J17" s="2">
        <v>1.32</v>
      </c>
      <c r="K17" s="2">
        <v>0.0</v>
      </c>
      <c r="L17" s="2">
        <v>4.5</v>
      </c>
      <c r="M17" s="2">
        <v>834017.02</v>
      </c>
      <c r="N17" s="2">
        <v>114745.03</v>
      </c>
    </row>
    <row r="18">
      <c r="A18" s="2" t="s">
        <v>23</v>
      </c>
      <c r="B18" s="3">
        <v>45658.0</v>
      </c>
      <c r="C18" s="2" t="s">
        <v>24</v>
      </c>
      <c r="D18" s="2" t="s">
        <v>16</v>
      </c>
      <c r="E18" s="2">
        <v>48804.22</v>
      </c>
      <c r="F18" s="2">
        <v>7057.0</v>
      </c>
      <c r="G18" s="2">
        <v>0.005</v>
      </c>
      <c r="H18" s="2">
        <v>15.0</v>
      </c>
      <c r="I18" s="2">
        <v>87.7</v>
      </c>
      <c r="J18" s="2">
        <v>1.22</v>
      </c>
      <c r="K18" s="2">
        <v>0.0</v>
      </c>
      <c r="L18" s="2">
        <v>3.7</v>
      </c>
      <c r="M18" s="2">
        <v>666152.52</v>
      </c>
      <c r="N18" s="2">
        <v>107490.58</v>
      </c>
    </row>
    <row r="19">
      <c r="A19" s="2" t="s">
        <v>23</v>
      </c>
      <c r="B19" s="3">
        <v>45689.0</v>
      </c>
      <c r="C19" s="2" t="s">
        <v>24</v>
      </c>
      <c r="D19" s="2" t="s">
        <v>16</v>
      </c>
      <c r="E19" s="2">
        <v>59117.9</v>
      </c>
      <c r="F19" s="2">
        <v>4263.0</v>
      </c>
      <c r="G19" s="2">
        <v>0.119</v>
      </c>
      <c r="H19" s="2">
        <v>9.0</v>
      </c>
      <c r="I19" s="2">
        <v>87.6</v>
      </c>
      <c r="J19" s="2">
        <v>4.01</v>
      </c>
      <c r="K19" s="2">
        <v>0.0</v>
      </c>
      <c r="L19" s="2">
        <v>3.6</v>
      </c>
      <c r="M19" s="2">
        <v>573155.19</v>
      </c>
      <c r="N19" s="2">
        <v>83680.75</v>
      </c>
    </row>
    <row r="20">
      <c r="A20" s="2" t="s">
        <v>23</v>
      </c>
      <c r="B20" s="3">
        <v>45717.0</v>
      </c>
      <c r="C20" s="2" t="s">
        <v>24</v>
      </c>
      <c r="D20" s="2" t="s">
        <v>16</v>
      </c>
      <c r="E20" s="2">
        <v>78831.12</v>
      </c>
      <c r="F20" s="2">
        <v>5538.0</v>
      </c>
      <c r="G20" s="2">
        <v>0.0</v>
      </c>
      <c r="H20" s="2">
        <v>15.0</v>
      </c>
      <c r="I20" s="2">
        <v>94.1</v>
      </c>
      <c r="J20" s="2">
        <v>0.2</v>
      </c>
      <c r="K20" s="2">
        <v>0.0</v>
      </c>
      <c r="L20" s="2">
        <v>3.9</v>
      </c>
      <c r="M20" s="2">
        <v>666573.2</v>
      </c>
      <c r="N20" s="2">
        <v>140641.02</v>
      </c>
    </row>
    <row r="21" ht="15.75" customHeight="1">
      <c r="A21" s="2" t="s">
        <v>23</v>
      </c>
      <c r="B21" s="3">
        <v>45748.0</v>
      </c>
      <c r="C21" s="2" t="s">
        <v>24</v>
      </c>
      <c r="D21" s="2" t="s">
        <v>16</v>
      </c>
      <c r="E21" s="2">
        <v>41441.93</v>
      </c>
      <c r="F21" s="2">
        <v>4865.0</v>
      </c>
      <c r="G21" s="2">
        <v>0.158</v>
      </c>
      <c r="H21" s="2">
        <v>16.0</v>
      </c>
      <c r="I21" s="2">
        <v>88.3</v>
      </c>
      <c r="J21" s="2">
        <v>0.5</v>
      </c>
      <c r="K21" s="2">
        <v>0.0</v>
      </c>
      <c r="L21" s="2">
        <v>4.0</v>
      </c>
      <c r="M21" s="2">
        <v>591619.95</v>
      </c>
      <c r="N21" s="2">
        <v>99521.35</v>
      </c>
    </row>
    <row r="22" ht="15.75" customHeight="1">
      <c r="A22" s="2" t="s">
        <v>25</v>
      </c>
      <c r="B22" s="3">
        <v>45658.0</v>
      </c>
      <c r="C22" s="2" t="s">
        <v>20</v>
      </c>
      <c r="D22" s="2" t="s">
        <v>16</v>
      </c>
      <c r="E22" s="2">
        <v>30356.28</v>
      </c>
      <c r="F22" s="2">
        <v>2822.0</v>
      </c>
      <c r="G22" s="2">
        <v>0.231</v>
      </c>
      <c r="H22" s="2">
        <v>9.0</v>
      </c>
      <c r="I22" s="2">
        <v>84.8</v>
      </c>
      <c r="J22" s="2">
        <v>6.95</v>
      </c>
      <c r="K22" s="2">
        <v>0.0</v>
      </c>
      <c r="L22" s="2">
        <v>5.0</v>
      </c>
      <c r="M22" s="2">
        <v>415721.82</v>
      </c>
      <c r="N22" s="2">
        <v>61179.15</v>
      </c>
    </row>
    <row r="23" ht="15.75" customHeight="1">
      <c r="A23" s="2" t="s">
        <v>25</v>
      </c>
      <c r="B23" s="3">
        <v>45689.0</v>
      </c>
      <c r="C23" s="2" t="s">
        <v>20</v>
      </c>
      <c r="D23" s="2" t="s">
        <v>16</v>
      </c>
      <c r="E23" s="2">
        <v>33518.88</v>
      </c>
      <c r="F23" s="2">
        <v>2121.0</v>
      </c>
      <c r="G23" s="2">
        <v>0.176</v>
      </c>
      <c r="H23" s="2">
        <v>8.0</v>
      </c>
      <c r="I23" s="2">
        <v>88.5</v>
      </c>
      <c r="J23" s="2">
        <v>0.2</v>
      </c>
      <c r="K23" s="2">
        <v>0.0</v>
      </c>
      <c r="L23" s="2">
        <v>5.0</v>
      </c>
      <c r="M23" s="2">
        <v>491905.13</v>
      </c>
      <c r="N23" s="2">
        <v>79212.26</v>
      </c>
    </row>
    <row r="24" ht="15.75" customHeight="1">
      <c r="A24" s="2" t="s">
        <v>25</v>
      </c>
      <c r="B24" s="3">
        <v>45717.0</v>
      </c>
      <c r="C24" s="2" t="s">
        <v>20</v>
      </c>
      <c r="D24" s="2" t="s">
        <v>16</v>
      </c>
      <c r="E24" s="2">
        <v>42267.37</v>
      </c>
      <c r="F24" s="2">
        <v>3364.0</v>
      </c>
      <c r="G24" s="2">
        <v>0.16</v>
      </c>
      <c r="H24" s="2">
        <v>13.0</v>
      </c>
      <c r="I24" s="2">
        <v>82.0</v>
      </c>
      <c r="J24" s="2">
        <v>1.61</v>
      </c>
      <c r="K24" s="2">
        <v>1.0</v>
      </c>
      <c r="L24" s="2">
        <v>4.6</v>
      </c>
      <c r="M24" s="2">
        <v>555929.4</v>
      </c>
      <c r="N24" s="2">
        <v>115201.76</v>
      </c>
    </row>
    <row r="25" ht="15.75" customHeight="1">
      <c r="A25" s="2" t="s">
        <v>25</v>
      </c>
      <c r="B25" s="3">
        <v>45748.0</v>
      </c>
      <c r="C25" s="2" t="s">
        <v>20</v>
      </c>
      <c r="D25" s="2" t="s">
        <v>16</v>
      </c>
      <c r="E25" s="2">
        <v>62060.43</v>
      </c>
      <c r="F25" s="2">
        <v>2613.0</v>
      </c>
      <c r="G25" s="2">
        <v>0.216</v>
      </c>
      <c r="H25" s="2">
        <v>12.0</v>
      </c>
      <c r="I25" s="2">
        <v>92.1</v>
      </c>
      <c r="J25" s="2">
        <v>1.55</v>
      </c>
      <c r="K25" s="2">
        <v>0.0</v>
      </c>
      <c r="L25" s="2">
        <v>4.7</v>
      </c>
      <c r="M25" s="2">
        <v>565810.99</v>
      </c>
      <c r="N25" s="2">
        <v>77825.46</v>
      </c>
    </row>
    <row r="26" ht="15.75" customHeight="1">
      <c r="A26" s="2" t="s">
        <v>26</v>
      </c>
      <c r="B26" s="3">
        <v>45658.0</v>
      </c>
      <c r="C26" s="2" t="s">
        <v>27</v>
      </c>
      <c r="D26" s="2" t="s">
        <v>28</v>
      </c>
      <c r="E26" s="2">
        <v>57696.69</v>
      </c>
      <c r="F26" s="2">
        <v>10218.0</v>
      </c>
      <c r="G26" s="2">
        <v>0.121</v>
      </c>
      <c r="H26" s="2">
        <v>25.0</v>
      </c>
      <c r="I26" s="2">
        <v>94.8</v>
      </c>
      <c r="J26" s="2">
        <v>2.99</v>
      </c>
      <c r="K26" s="2">
        <v>0.0</v>
      </c>
      <c r="L26" s="2">
        <v>3.5</v>
      </c>
      <c r="M26" s="2">
        <v>811771.14</v>
      </c>
      <c r="N26" s="2">
        <v>148756.24</v>
      </c>
    </row>
    <row r="27" ht="15.75" customHeight="1">
      <c r="A27" s="2" t="s">
        <v>26</v>
      </c>
      <c r="B27" s="3">
        <v>45689.0</v>
      </c>
      <c r="C27" s="2" t="s">
        <v>27</v>
      </c>
      <c r="D27" s="2" t="s">
        <v>28</v>
      </c>
      <c r="E27" s="2">
        <v>172415.52</v>
      </c>
      <c r="F27" s="2">
        <v>8927.0</v>
      </c>
      <c r="G27" s="2">
        <v>0.14</v>
      </c>
      <c r="H27" s="2">
        <v>22.0</v>
      </c>
      <c r="I27" s="2">
        <v>86.2</v>
      </c>
      <c r="J27" s="2">
        <v>7.04</v>
      </c>
      <c r="K27" s="2">
        <v>0.0</v>
      </c>
      <c r="L27" s="2">
        <v>3.9</v>
      </c>
      <c r="M27" s="2">
        <v>800451.94</v>
      </c>
      <c r="N27" s="2">
        <v>111572.29</v>
      </c>
    </row>
    <row r="28" ht="15.75" customHeight="1">
      <c r="A28" s="2" t="s">
        <v>26</v>
      </c>
      <c r="B28" s="3">
        <v>45717.0</v>
      </c>
      <c r="C28" s="2" t="s">
        <v>27</v>
      </c>
      <c r="D28" s="2" t="s">
        <v>28</v>
      </c>
      <c r="E28" s="2">
        <v>55270.52</v>
      </c>
      <c r="F28" s="2">
        <v>9315.0</v>
      </c>
      <c r="G28" s="2">
        <v>0.169</v>
      </c>
      <c r="H28" s="2">
        <v>23.0</v>
      </c>
      <c r="I28" s="2">
        <v>91.9</v>
      </c>
      <c r="J28" s="2">
        <v>4.94</v>
      </c>
      <c r="K28" s="2">
        <v>0.0</v>
      </c>
      <c r="L28" s="2">
        <v>4.0</v>
      </c>
      <c r="M28" s="2">
        <v>783672.82</v>
      </c>
      <c r="N28" s="2">
        <v>112577.14</v>
      </c>
    </row>
    <row r="29" ht="15.75" customHeight="1">
      <c r="A29" s="2" t="s">
        <v>26</v>
      </c>
      <c r="B29" s="3">
        <v>45748.0</v>
      </c>
      <c r="C29" s="2" t="s">
        <v>27</v>
      </c>
      <c r="D29" s="2" t="s">
        <v>28</v>
      </c>
      <c r="E29" s="2">
        <v>52715.1</v>
      </c>
      <c r="F29" s="2">
        <v>7223.0</v>
      </c>
      <c r="G29" s="2">
        <v>0.122</v>
      </c>
      <c r="H29" s="2">
        <v>16.0</v>
      </c>
      <c r="I29" s="2">
        <v>84.2</v>
      </c>
      <c r="J29" s="2">
        <v>16.15</v>
      </c>
      <c r="K29" s="2">
        <v>0.0</v>
      </c>
      <c r="L29" s="2">
        <v>3.7</v>
      </c>
      <c r="M29" s="2">
        <v>701641.97</v>
      </c>
      <c r="N29" s="2">
        <v>106111.86</v>
      </c>
    </row>
    <row r="30" ht="15.75" customHeight="1">
      <c r="A30" s="2" t="s">
        <v>29</v>
      </c>
      <c r="B30" s="3">
        <v>45658.0</v>
      </c>
      <c r="C30" s="2" t="s">
        <v>15</v>
      </c>
      <c r="D30" s="2" t="s">
        <v>16</v>
      </c>
      <c r="E30" s="2">
        <v>68600.62</v>
      </c>
      <c r="F30" s="2">
        <v>3988.0</v>
      </c>
      <c r="G30" s="2">
        <v>0.124</v>
      </c>
      <c r="H30" s="2">
        <v>11.0</v>
      </c>
      <c r="I30" s="2">
        <v>85.0</v>
      </c>
      <c r="J30" s="2">
        <v>0.48</v>
      </c>
      <c r="K30" s="2">
        <v>0.0</v>
      </c>
      <c r="L30" s="2">
        <v>3.6</v>
      </c>
      <c r="M30" s="2">
        <v>511844.41</v>
      </c>
      <c r="N30" s="2">
        <v>72774.44</v>
      </c>
    </row>
    <row r="31" ht="15.75" customHeight="1">
      <c r="A31" s="2" t="s">
        <v>29</v>
      </c>
      <c r="B31" s="3">
        <v>45689.0</v>
      </c>
      <c r="C31" s="2" t="s">
        <v>15</v>
      </c>
      <c r="D31" s="2" t="s">
        <v>16</v>
      </c>
      <c r="E31" s="2">
        <v>63176.73</v>
      </c>
      <c r="F31" s="2">
        <v>2390.0</v>
      </c>
      <c r="G31" s="2">
        <v>0.216</v>
      </c>
      <c r="H31" s="2">
        <v>9.0</v>
      </c>
      <c r="I31" s="2">
        <v>87.5</v>
      </c>
      <c r="J31" s="2">
        <v>0.31</v>
      </c>
      <c r="K31" s="2">
        <v>0.0</v>
      </c>
      <c r="L31" s="2">
        <v>3.1</v>
      </c>
      <c r="M31" s="2">
        <v>537383.79</v>
      </c>
      <c r="N31" s="2">
        <v>63773.27</v>
      </c>
    </row>
    <row r="32" ht="15.75" customHeight="1">
      <c r="A32" s="2" t="s">
        <v>29</v>
      </c>
      <c r="B32" s="3">
        <v>45717.0</v>
      </c>
      <c r="C32" s="2" t="s">
        <v>15</v>
      </c>
      <c r="D32" s="2" t="s">
        <v>16</v>
      </c>
      <c r="E32" s="2">
        <v>44970.08</v>
      </c>
      <c r="F32" s="2">
        <v>2471.0</v>
      </c>
      <c r="G32" s="2">
        <v>0.136</v>
      </c>
      <c r="H32" s="2">
        <v>11.0</v>
      </c>
      <c r="I32" s="2">
        <v>87.6</v>
      </c>
      <c r="J32" s="2">
        <v>3.01</v>
      </c>
      <c r="K32" s="2">
        <v>1.0</v>
      </c>
      <c r="L32" s="2">
        <v>3.7</v>
      </c>
      <c r="M32" s="2">
        <v>500173.02</v>
      </c>
      <c r="N32" s="2">
        <v>70982.05</v>
      </c>
    </row>
    <row r="33" ht="15.75" customHeight="1">
      <c r="A33" s="2" t="s">
        <v>29</v>
      </c>
      <c r="B33" s="3">
        <v>45748.0</v>
      </c>
      <c r="C33" s="2" t="s">
        <v>15</v>
      </c>
      <c r="D33" s="2" t="s">
        <v>16</v>
      </c>
      <c r="E33" s="2">
        <v>69816.35</v>
      </c>
      <c r="F33" s="2">
        <v>971.0</v>
      </c>
      <c r="G33" s="2">
        <v>0.168</v>
      </c>
      <c r="H33" s="2">
        <v>5.0</v>
      </c>
      <c r="I33" s="2">
        <v>89.9</v>
      </c>
      <c r="J33" s="2">
        <v>12.15</v>
      </c>
      <c r="K33" s="2">
        <v>0.0</v>
      </c>
      <c r="L33" s="2">
        <v>3.6</v>
      </c>
      <c r="M33" s="2">
        <v>427917.38</v>
      </c>
      <c r="N33" s="2">
        <v>81824.31</v>
      </c>
    </row>
    <row r="34" ht="15.75" customHeight="1">
      <c r="A34" s="2" t="s">
        <v>30</v>
      </c>
      <c r="B34" s="3">
        <v>45658.0</v>
      </c>
      <c r="C34" s="2" t="s">
        <v>20</v>
      </c>
      <c r="D34" s="2" t="s">
        <v>16</v>
      </c>
      <c r="E34" s="2">
        <v>54597.83</v>
      </c>
      <c r="F34" s="2">
        <v>9429.0</v>
      </c>
      <c r="G34" s="2">
        <v>0.188</v>
      </c>
      <c r="H34" s="2">
        <v>21.0</v>
      </c>
      <c r="I34" s="2">
        <v>83.3</v>
      </c>
      <c r="J34" s="2">
        <v>11.71</v>
      </c>
      <c r="K34" s="2">
        <v>0.0</v>
      </c>
      <c r="L34" s="2">
        <v>4.2</v>
      </c>
      <c r="M34" s="2">
        <v>641865.03</v>
      </c>
      <c r="N34" s="2">
        <v>81342.58</v>
      </c>
    </row>
    <row r="35" ht="15.75" customHeight="1">
      <c r="A35" s="2" t="s">
        <v>30</v>
      </c>
      <c r="B35" s="3">
        <v>45689.0</v>
      </c>
      <c r="C35" s="2" t="s">
        <v>20</v>
      </c>
      <c r="D35" s="2" t="s">
        <v>16</v>
      </c>
      <c r="E35" s="2">
        <v>73771.91</v>
      </c>
      <c r="F35" s="2">
        <v>11695.0</v>
      </c>
      <c r="G35" s="2">
        <v>0.07</v>
      </c>
      <c r="H35" s="2">
        <v>25.0</v>
      </c>
      <c r="I35" s="2">
        <v>84.7</v>
      </c>
      <c r="J35" s="2">
        <v>0.62</v>
      </c>
      <c r="K35" s="2">
        <v>0.0</v>
      </c>
      <c r="L35" s="2"/>
      <c r="M35" s="2">
        <v>799477.76</v>
      </c>
      <c r="N35" s="2">
        <v>164974.41</v>
      </c>
    </row>
    <row r="36" ht="15.75" customHeight="1">
      <c r="A36" s="2" t="s">
        <v>30</v>
      </c>
      <c r="B36" s="3">
        <v>45717.0</v>
      </c>
      <c r="C36" s="2" t="s">
        <v>20</v>
      </c>
      <c r="D36" s="2" t="s">
        <v>16</v>
      </c>
      <c r="E36" s="2">
        <v>74413.88</v>
      </c>
      <c r="F36" s="2">
        <v>9449.0</v>
      </c>
      <c r="G36" s="2">
        <v>0.039</v>
      </c>
      <c r="H36" s="2">
        <v>23.0</v>
      </c>
      <c r="I36" s="2">
        <v>92.1</v>
      </c>
      <c r="J36" s="2">
        <v>2.12</v>
      </c>
      <c r="K36" s="2">
        <v>0.0</v>
      </c>
      <c r="L36" s="2">
        <v>3.5</v>
      </c>
      <c r="M36" s="2">
        <v>798952.17</v>
      </c>
      <c r="N36" s="2">
        <v>161499.04</v>
      </c>
    </row>
    <row r="37" ht="15.75" customHeight="1">
      <c r="A37" s="2" t="s">
        <v>30</v>
      </c>
      <c r="B37" s="3">
        <v>45748.0</v>
      </c>
      <c r="C37" s="2" t="s">
        <v>20</v>
      </c>
      <c r="D37" s="2" t="s">
        <v>16</v>
      </c>
      <c r="E37" s="2">
        <v>52483.77</v>
      </c>
      <c r="F37" s="2">
        <v>10453.0</v>
      </c>
      <c r="G37" s="2">
        <v>0.247</v>
      </c>
      <c r="H37" s="2">
        <v>25.0</v>
      </c>
      <c r="I37" s="2">
        <v>99.0</v>
      </c>
      <c r="J37" s="2">
        <v>6.31</v>
      </c>
      <c r="K37" s="2">
        <v>0.0</v>
      </c>
      <c r="L37" s="2">
        <v>3.6</v>
      </c>
      <c r="M37" s="2">
        <v>800979.78</v>
      </c>
      <c r="N37" s="2">
        <v>149242.27</v>
      </c>
    </row>
    <row r="38" ht="15.75" customHeight="1">
      <c r="A38" s="2" t="s">
        <v>31</v>
      </c>
      <c r="B38" s="3">
        <v>45658.0</v>
      </c>
      <c r="C38" s="2" t="s">
        <v>20</v>
      </c>
      <c r="D38" s="2" t="s">
        <v>28</v>
      </c>
      <c r="E38" s="2">
        <v>75269.87</v>
      </c>
      <c r="F38" s="2">
        <v>8838.0</v>
      </c>
      <c r="G38" s="2">
        <v>0.092</v>
      </c>
      <c r="H38" s="2">
        <v>21.0</v>
      </c>
      <c r="I38" s="2">
        <v>83.1</v>
      </c>
      <c r="J38" s="2">
        <v>9.56</v>
      </c>
      <c r="K38" s="2">
        <v>1.0</v>
      </c>
      <c r="L38" s="2">
        <v>4.2</v>
      </c>
      <c r="M38" s="2">
        <v>820593.93</v>
      </c>
      <c r="N38" s="2">
        <v>115860.06</v>
      </c>
    </row>
    <row r="39" ht="15.75" customHeight="1">
      <c r="A39" s="2" t="s">
        <v>31</v>
      </c>
      <c r="B39" s="3">
        <v>45689.0</v>
      </c>
      <c r="C39" s="2" t="s">
        <v>20</v>
      </c>
      <c r="D39" s="2" t="s">
        <v>28</v>
      </c>
      <c r="E39" s="2">
        <v>61245.41</v>
      </c>
      <c r="F39" s="2">
        <v>8156.0</v>
      </c>
      <c r="G39" s="2">
        <v>0.156</v>
      </c>
      <c r="H39" s="2">
        <v>19.0</v>
      </c>
      <c r="I39" s="2">
        <v>92.9</v>
      </c>
      <c r="J39" s="2">
        <v>9.05</v>
      </c>
      <c r="K39" s="2">
        <v>0.0</v>
      </c>
      <c r="L39" s="2">
        <v>3.8</v>
      </c>
      <c r="M39" s="2">
        <v>718330.53</v>
      </c>
      <c r="N39" s="2">
        <v>93247.9</v>
      </c>
    </row>
    <row r="40" ht="15.75" customHeight="1">
      <c r="A40" s="2" t="s">
        <v>31</v>
      </c>
      <c r="B40" s="3">
        <v>45717.0</v>
      </c>
      <c r="C40" s="2" t="s">
        <v>20</v>
      </c>
      <c r="D40" s="2" t="s">
        <v>28</v>
      </c>
      <c r="E40" s="2">
        <v>93381.26</v>
      </c>
      <c r="F40" s="2">
        <v>7562.0</v>
      </c>
      <c r="G40" s="2">
        <v>0.198</v>
      </c>
      <c r="H40" s="2">
        <v>19.0</v>
      </c>
      <c r="I40" s="2">
        <v>82.9</v>
      </c>
      <c r="J40" s="2">
        <v>5.05</v>
      </c>
      <c r="K40" s="2">
        <v>0.0</v>
      </c>
      <c r="L40" s="2">
        <v>4.0</v>
      </c>
      <c r="M40" s="2">
        <v>736633.4</v>
      </c>
      <c r="N40" s="2">
        <v>115654.66</v>
      </c>
    </row>
    <row r="41" ht="15.75" customHeight="1">
      <c r="A41" s="2" t="s">
        <v>31</v>
      </c>
      <c r="B41" s="3">
        <v>45748.0</v>
      </c>
      <c r="C41" s="2" t="s">
        <v>20</v>
      </c>
      <c r="D41" s="2" t="s">
        <v>28</v>
      </c>
      <c r="E41" s="2">
        <v>65012.19</v>
      </c>
      <c r="F41" s="2">
        <v>9598.0</v>
      </c>
      <c r="G41" s="2">
        <v>0.085</v>
      </c>
      <c r="H41" s="2">
        <v>24.0</v>
      </c>
      <c r="I41" s="2">
        <v>98.3</v>
      </c>
      <c r="J41" s="2">
        <v>0.89</v>
      </c>
      <c r="K41" s="2">
        <v>0.0</v>
      </c>
      <c r="L41" s="2">
        <v>3.8</v>
      </c>
      <c r="M41" s="2">
        <v>828623.85</v>
      </c>
      <c r="N41" s="2">
        <v>167320.52</v>
      </c>
    </row>
    <row r="42" ht="15.75" customHeight="1">
      <c r="A42" s="2" t="s">
        <v>32</v>
      </c>
      <c r="B42" s="3">
        <v>45658.0</v>
      </c>
      <c r="C42" s="2" t="s">
        <v>15</v>
      </c>
      <c r="D42" s="2" t="s">
        <v>28</v>
      </c>
      <c r="E42" s="2">
        <v>40462.94</v>
      </c>
      <c r="F42" s="2">
        <v>3660.0</v>
      </c>
      <c r="G42" s="2">
        <v>0.218</v>
      </c>
      <c r="H42" s="2">
        <v>11.0</v>
      </c>
      <c r="I42" s="2">
        <v>95.2</v>
      </c>
      <c r="J42" s="2">
        <v>5.57</v>
      </c>
      <c r="K42" s="2">
        <v>0.0</v>
      </c>
      <c r="L42" s="2">
        <v>4.4</v>
      </c>
      <c r="M42" s="2">
        <v>592195.85</v>
      </c>
      <c r="N42" s="2">
        <v>92291.56</v>
      </c>
    </row>
    <row r="43" ht="15.75" customHeight="1">
      <c r="A43" s="2" t="s">
        <v>32</v>
      </c>
      <c r="B43" s="3">
        <v>45689.0</v>
      </c>
      <c r="C43" s="2" t="s">
        <v>15</v>
      </c>
      <c r="D43" s="2" t="s">
        <v>28</v>
      </c>
      <c r="E43" s="2">
        <v>46123.88</v>
      </c>
      <c r="F43" s="2">
        <v>3227.0</v>
      </c>
      <c r="G43" s="2">
        <v>0.143</v>
      </c>
      <c r="H43" s="2">
        <v>10.0</v>
      </c>
      <c r="I43" s="2">
        <v>75.4</v>
      </c>
      <c r="J43" s="2">
        <v>1.06</v>
      </c>
      <c r="K43" s="2">
        <v>0.0</v>
      </c>
      <c r="L43" s="2">
        <v>4.4</v>
      </c>
      <c r="M43" s="2">
        <v>532644.46</v>
      </c>
      <c r="N43" s="2">
        <v>60681.32</v>
      </c>
    </row>
    <row r="44" ht="15.75" customHeight="1">
      <c r="A44" s="2" t="s">
        <v>32</v>
      </c>
      <c r="B44" s="3">
        <v>45717.0</v>
      </c>
      <c r="C44" s="2" t="s">
        <v>15</v>
      </c>
      <c r="D44" s="2" t="s">
        <v>28</v>
      </c>
      <c r="E44" s="2">
        <v>68077.54</v>
      </c>
      <c r="F44" s="2">
        <v>3360.0</v>
      </c>
      <c r="G44" s="2">
        <v>0.128</v>
      </c>
      <c r="H44" s="2">
        <v>14.0</v>
      </c>
      <c r="I44" s="2">
        <v>88.2</v>
      </c>
      <c r="J44" s="2">
        <v>1.24</v>
      </c>
      <c r="K44" s="2">
        <v>1.0</v>
      </c>
      <c r="L44" s="2">
        <v>4.0</v>
      </c>
      <c r="M44" s="2">
        <v>657429.18</v>
      </c>
      <c r="N44" s="2">
        <v>88919.74</v>
      </c>
    </row>
    <row r="45" ht="15.75" customHeight="1">
      <c r="A45" s="2" t="s">
        <v>32</v>
      </c>
      <c r="B45" s="3">
        <v>45748.0</v>
      </c>
      <c r="C45" s="2" t="s">
        <v>15</v>
      </c>
      <c r="D45" s="2" t="s">
        <v>28</v>
      </c>
      <c r="E45" s="2">
        <v>64882.14</v>
      </c>
      <c r="F45" s="2">
        <v>3642.0</v>
      </c>
      <c r="G45" s="2">
        <v>0.019</v>
      </c>
      <c r="H45" s="2">
        <v>13.0</v>
      </c>
      <c r="I45" s="2">
        <v>87.8</v>
      </c>
      <c r="J45" s="2">
        <v>4.52</v>
      </c>
      <c r="K45" s="2">
        <v>0.0</v>
      </c>
      <c r="L45" s="2">
        <v>4.2</v>
      </c>
      <c r="M45" s="2">
        <v>605178.0</v>
      </c>
      <c r="N45" s="2">
        <v>106958.74</v>
      </c>
    </row>
    <row r="46" ht="15.75" customHeight="1">
      <c r="A46" s="2" t="s">
        <v>33</v>
      </c>
      <c r="B46" s="3">
        <v>45658.0</v>
      </c>
      <c r="C46" s="2" t="s">
        <v>27</v>
      </c>
      <c r="D46" s="2" t="s">
        <v>16</v>
      </c>
      <c r="E46" s="2">
        <v>138855.51</v>
      </c>
      <c r="F46" s="2">
        <v>5145.0</v>
      </c>
      <c r="G46" s="2">
        <v>0.06</v>
      </c>
      <c r="H46" s="2">
        <v>17.0</v>
      </c>
      <c r="I46" s="2">
        <v>88.2</v>
      </c>
      <c r="J46" s="2">
        <v>9.58</v>
      </c>
      <c r="K46" s="2">
        <v>0.0</v>
      </c>
      <c r="L46" s="2">
        <v>3.2</v>
      </c>
      <c r="M46" s="2">
        <v>595467.6</v>
      </c>
      <c r="N46" s="2">
        <v>104276.46</v>
      </c>
    </row>
    <row r="47" ht="15.75" customHeight="1">
      <c r="A47" s="2" t="s">
        <v>33</v>
      </c>
      <c r="B47" s="3">
        <v>45689.0</v>
      </c>
      <c r="C47" s="2" t="s">
        <v>27</v>
      </c>
      <c r="D47" s="2" t="s">
        <v>16</v>
      </c>
      <c r="E47" s="2">
        <v>63630.21</v>
      </c>
      <c r="F47" s="2">
        <v>4460.0</v>
      </c>
      <c r="G47" s="2">
        <v>0.235</v>
      </c>
      <c r="H47" s="2">
        <v>14.0</v>
      </c>
      <c r="I47" s="2">
        <v>98.6</v>
      </c>
      <c r="J47" s="2">
        <v>5.52</v>
      </c>
      <c r="K47" s="2">
        <v>0.0</v>
      </c>
      <c r="L47" s="2">
        <v>3.5</v>
      </c>
      <c r="M47" s="2">
        <v>599603.4</v>
      </c>
      <c r="N47" s="2">
        <v>112685.12</v>
      </c>
    </row>
    <row r="48" ht="15.75" customHeight="1">
      <c r="A48" s="2" t="s">
        <v>33</v>
      </c>
      <c r="B48" s="3">
        <v>45717.0</v>
      </c>
      <c r="C48" s="2" t="s">
        <v>27</v>
      </c>
      <c r="D48" s="2" t="s">
        <v>16</v>
      </c>
      <c r="E48" s="2">
        <v>50043.65</v>
      </c>
      <c r="F48" s="2">
        <v>3804.0</v>
      </c>
      <c r="G48" s="2">
        <v>0.113</v>
      </c>
      <c r="H48" s="2">
        <v>11.0</v>
      </c>
      <c r="I48" s="2">
        <v>90.9</v>
      </c>
      <c r="J48" s="2">
        <v>2.7</v>
      </c>
      <c r="K48" s="2">
        <v>1.0</v>
      </c>
      <c r="L48" s="2">
        <v>3.2</v>
      </c>
      <c r="M48" s="2">
        <v>614800.09</v>
      </c>
      <c r="N48" s="2">
        <v>100044.2</v>
      </c>
    </row>
    <row r="49" ht="15.75" customHeight="1">
      <c r="A49" s="2" t="s">
        <v>33</v>
      </c>
      <c r="B49" s="3">
        <v>45748.0</v>
      </c>
      <c r="C49" s="2" t="s">
        <v>27</v>
      </c>
      <c r="D49" s="2" t="s">
        <v>16</v>
      </c>
      <c r="E49" s="2">
        <v>42093.84</v>
      </c>
      <c r="F49" s="2">
        <v>4074.0</v>
      </c>
      <c r="G49" s="2">
        <v>0.155</v>
      </c>
      <c r="H49" s="2">
        <v>15.0</v>
      </c>
      <c r="I49" s="2">
        <v>88.0</v>
      </c>
      <c r="J49" s="2">
        <v>9.64</v>
      </c>
      <c r="K49" s="2">
        <v>0.0</v>
      </c>
      <c r="L49" s="2">
        <v>3.3</v>
      </c>
      <c r="M49" s="2">
        <v>585365.73</v>
      </c>
      <c r="N49" s="2">
        <v>81011.52</v>
      </c>
    </row>
    <row r="50" ht="15.75" customHeight="1">
      <c r="A50" s="2" t="s">
        <v>34</v>
      </c>
      <c r="B50" s="3">
        <v>45658.0</v>
      </c>
      <c r="C50" s="2" t="s">
        <v>20</v>
      </c>
      <c r="D50" s="2" t="s">
        <v>28</v>
      </c>
      <c r="E50" s="2">
        <v>46624.05</v>
      </c>
      <c r="F50" s="2">
        <v>5104.0</v>
      </c>
      <c r="G50" s="2">
        <v>0.109</v>
      </c>
      <c r="H50" s="2">
        <v>11.0</v>
      </c>
      <c r="I50" s="2">
        <v>97.3</v>
      </c>
      <c r="J50" s="2">
        <v>3.49</v>
      </c>
      <c r="K50" s="2">
        <v>1.0</v>
      </c>
      <c r="L50" s="2">
        <v>4.7</v>
      </c>
      <c r="M50" s="2">
        <v>622811.74</v>
      </c>
      <c r="N50" s="2">
        <v>109978.35</v>
      </c>
    </row>
    <row r="51" ht="15.75" customHeight="1">
      <c r="A51" s="2" t="s">
        <v>34</v>
      </c>
      <c r="B51" s="3">
        <v>45689.0</v>
      </c>
      <c r="C51" s="2" t="s">
        <v>20</v>
      </c>
      <c r="D51" s="2" t="s">
        <v>28</v>
      </c>
      <c r="E51" s="2">
        <v>49710.29</v>
      </c>
      <c r="F51" s="2">
        <v>5559.0</v>
      </c>
      <c r="G51" s="2">
        <v>0.218</v>
      </c>
      <c r="H51" s="2">
        <v>14.0</v>
      </c>
      <c r="I51" s="2">
        <v>71.0</v>
      </c>
      <c r="J51" s="2">
        <v>9.11</v>
      </c>
      <c r="K51" s="2">
        <v>0.0</v>
      </c>
      <c r="L51" s="2">
        <v>4.6</v>
      </c>
      <c r="M51" s="2">
        <v>603297.57</v>
      </c>
      <c r="N51" s="2">
        <v>60592.26</v>
      </c>
    </row>
    <row r="52" ht="15.75" customHeight="1">
      <c r="A52" s="2" t="s">
        <v>34</v>
      </c>
      <c r="B52" s="3">
        <v>45717.0</v>
      </c>
      <c r="C52" s="2" t="s">
        <v>20</v>
      </c>
      <c r="D52" s="2" t="s">
        <v>28</v>
      </c>
      <c r="E52" s="2">
        <v>48287.85</v>
      </c>
      <c r="F52" s="2">
        <v>5150.0</v>
      </c>
      <c r="G52" s="2">
        <v>0.008</v>
      </c>
      <c r="H52" s="2">
        <v>12.0</v>
      </c>
      <c r="I52" s="2">
        <v>80.4</v>
      </c>
      <c r="J52" s="2">
        <v>7.4</v>
      </c>
      <c r="K52" s="2">
        <v>0.0</v>
      </c>
      <c r="L52" s="2">
        <v>4.5</v>
      </c>
      <c r="M52" s="2">
        <v>625672.86</v>
      </c>
      <c r="N52" s="2">
        <v>118020.12</v>
      </c>
    </row>
    <row r="53" ht="15.75" customHeight="1">
      <c r="A53" s="2" t="s">
        <v>34</v>
      </c>
      <c r="B53" s="3">
        <v>45748.0</v>
      </c>
      <c r="C53" s="2" t="s">
        <v>20</v>
      </c>
      <c r="D53" s="2" t="s">
        <v>28</v>
      </c>
      <c r="E53" s="2">
        <v>65312.49</v>
      </c>
      <c r="F53" s="2">
        <v>7189.0</v>
      </c>
      <c r="G53" s="2">
        <v>0.05</v>
      </c>
      <c r="H53" s="2">
        <v>19.0</v>
      </c>
      <c r="I53" s="2">
        <v>93.7</v>
      </c>
      <c r="J53" s="2">
        <v>7.16</v>
      </c>
      <c r="K53" s="2">
        <v>0.0</v>
      </c>
      <c r="L53" s="2">
        <v>4.6</v>
      </c>
      <c r="M53" s="2">
        <v>773815.14</v>
      </c>
      <c r="N53" s="2">
        <v>133948.39</v>
      </c>
    </row>
    <row r="54" ht="15.75" customHeight="1">
      <c r="A54" s="2" t="s">
        <v>35</v>
      </c>
      <c r="B54" s="3">
        <v>45658.0</v>
      </c>
      <c r="C54" s="2" t="s">
        <v>27</v>
      </c>
      <c r="D54" s="2" t="s">
        <v>18</v>
      </c>
      <c r="E54" s="2">
        <v>53015.46</v>
      </c>
      <c r="F54" s="2">
        <v>3279.0</v>
      </c>
      <c r="G54" s="2">
        <v>0.087</v>
      </c>
      <c r="H54" s="2">
        <v>9.0</v>
      </c>
      <c r="I54" s="2">
        <v>84.3</v>
      </c>
      <c r="J54" s="2">
        <v>22.02</v>
      </c>
      <c r="K54" s="2">
        <v>0.0</v>
      </c>
      <c r="L54" s="2">
        <v>3.9</v>
      </c>
      <c r="M54" s="2">
        <v>463534.25</v>
      </c>
      <c r="N54" s="2">
        <v>81834.54</v>
      </c>
    </row>
    <row r="55" ht="15.75" customHeight="1">
      <c r="A55" s="2" t="s">
        <v>35</v>
      </c>
      <c r="B55" s="3">
        <v>45689.0</v>
      </c>
      <c r="C55" s="2" t="s">
        <v>27</v>
      </c>
      <c r="D55" s="2" t="s">
        <v>18</v>
      </c>
      <c r="E55" s="2">
        <v>99874.01</v>
      </c>
      <c r="F55" s="2">
        <v>5887.0</v>
      </c>
      <c r="G55" s="2">
        <v>0.262</v>
      </c>
      <c r="H55" s="2">
        <v>14.0</v>
      </c>
      <c r="I55" s="2">
        <v>88.7</v>
      </c>
      <c r="J55" s="2">
        <v>6.18</v>
      </c>
      <c r="K55" s="2">
        <v>0.0</v>
      </c>
      <c r="L55" s="2">
        <v>4.7</v>
      </c>
      <c r="M55" s="2">
        <v>746677.75</v>
      </c>
      <c r="N55" s="2">
        <v>122437.84</v>
      </c>
    </row>
    <row r="56" ht="15.75" customHeight="1">
      <c r="A56" s="2" t="s">
        <v>35</v>
      </c>
      <c r="B56" s="3">
        <v>45717.0</v>
      </c>
      <c r="C56" s="2" t="s">
        <v>27</v>
      </c>
      <c r="D56" s="2" t="s">
        <v>18</v>
      </c>
      <c r="E56" s="2">
        <v>81195.5</v>
      </c>
      <c r="F56" s="2">
        <v>5516.0</v>
      </c>
      <c r="G56" s="2">
        <v>0.106</v>
      </c>
      <c r="H56" s="2">
        <v>14.0</v>
      </c>
      <c r="I56" s="2">
        <v>88.0</v>
      </c>
      <c r="J56" s="2">
        <v>1.76</v>
      </c>
      <c r="K56" s="2">
        <v>0.0</v>
      </c>
      <c r="L56" s="2">
        <v>4.3</v>
      </c>
      <c r="M56" s="2">
        <v>720852.5</v>
      </c>
      <c r="N56" s="2">
        <v>98565.62</v>
      </c>
    </row>
    <row r="57" ht="15.75" customHeight="1">
      <c r="A57" s="2" t="s">
        <v>35</v>
      </c>
      <c r="B57" s="3">
        <v>45748.0</v>
      </c>
      <c r="C57" s="2" t="s">
        <v>27</v>
      </c>
      <c r="D57" s="2" t="s">
        <v>18</v>
      </c>
      <c r="E57" s="2">
        <v>27808.6</v>
      </c>
      <c r="F57" s="2">
        <v>2863.0</v>
      </c>
      <c r="G57" s="2">
        <v>0.08</v>
      </c>
      <c r="H57" s="2">
        <v>13.0</v>
      </c>
      <c r="I57" s="2">
        <v>89.3</v>
      </c>
      <c r="J57" s="2">
        <v>0.47</v>
      </c>
      <c r="K57" s="2">
        <v>0.0</v>
      </c>
      <c r="L57" s="2">
        <v>4.1</v>
      </c>
      <c r="M57" s="2">
        <v>487464.91</v>
      </c>
      <c r="N57" s="2">
        <v>64562.26</v>
      </c>
    </row>
    <row r="58" ht="15.75" customHeight="1">
      <c r="A58" s="2" t="s">
        <v>36</v>
      </c>
      <c r="B58" s="3">
        <v>45658.0</v>
      </c>
      <c r="C58" s="2" t="s">
        <v>15</v>
      </c>
      <c r="D58" s="2" t="s">
        <v>21</v>
      </c>
      <c r="E58" s="2">
        <v>19365.06</v>
      </c>
      <c r="F58" s="2">
        <v>2378.0</v>
      </c>
      <c r="G58" s="2">
        <v>0.0</v>
      </c>
      <c r="H58" s="2">
        <v>12.0</v>
      </c>
      <c r="I58" s="2">
        <v>94.8</v>
      </c>
      <c r="J58" s="2">
        <v>0.2</v>
      </c>
      <c r="K58" s="2">
        <v>0.0</v>
      </c>
      <c r="L58" s="2">
        <v>3.5</v>
      </c>
      <c r="M58" s="2">
        <v>518049.26</v>
      </c>
      <c r="N58" s="2">
        <v>108592.49</v>
      </c>
    </row>
    <row r="59" ht="15.75" customHeight="1">
      <c r="A59" s="2" t="s">
        <v>36</v>
      </c>
      <c r="B59" s="3">
        <v>45689.0</v>
      </c>
      <c r="C59" s="2" t="s">
        <v>15</v>
      </c>
      <c r="D59" s="2" t="s">
        <v>21</v>
      </c>
      <c r="E59" s="2">
        <v>59405.68</v>
      </c>
      <c r="F59" s="2">
        <v>2515.0</v>
      </c>
      <c r="G59" s="2">
        <v>0.039</v>
      </c>
      <c r="H59" s="2">
        <v>12.0</v>
      </c>
      <c r="I59" s="2">
        <v>76.0</v>
      </c>
      <c r="J59" s="2">
        <v>5.11</v>
      </c>
      <c r="K59" s="2">
        <v>0.0</v>
      </c>
      <c r="L59" s="2">
        <v>3.7</v>
      </c>
      <c r="M59" s="2">
        <v>500298.48</v>
      </c>
      <c r="N59" s="2">
        <v>73461.32</v>
      </c>
    </row>
    <row r="60" ht="15.75" customHeight="1">
      <c r="A60" s="2" t="s">
        <v>36</v>
      </c>
      <c r="B60" s="3">
        <v>45717.0</v>
      </c>
      <c r="C60" s="2" t="s">
        <v>15</v>
      </c>
      <c r="D60" s="2" t="s">
        <v>21</v>
      </c>
      <c r="E60" s="2">
        <v>118910.48</v>
      </c>
      <c r="F60" s="2">
        <v>4022.0</v>
      </c>
      <c r="G60" s="2">
        <v>0.137</v>
      </c>
      <c r="H60" s="2">
        <v>11.0</v>
      </c>
      <c r="I60" s="2">
        <v>87.1</v>
      </c>
      <c r="J60" s="2">
        <v>0.2</v>
      </c>
      <c r="K60" s="2">
        <v>0.0</v>
      </c>
      <c r="L60" s="2">
        <v>3.1</v>
      </c>
      <c r="M60" s="2">
        <v>617291.15</v>
      </c>
      <c r="N60" s="2">
        <v>117782.0</v>
      </c>
    </row>
    <row r="61" ht="15.75" customHeight="1">
      <c r="A61" s="2" t="s">
        <v>36</v>
      </c>
      <c r="B61" s="3">
        <v>45748.0</v>
      </c>
      <c r="C61" s="2" t="s">
        <v>15</v>
      </c>
      <c r="D61" s="2" t="s">
        <v>21</v>
      </c>
      <c r="E61" s="2">
        <v>52952.12</v>
      </c>
      <c r="F61" s="2">
        <v>4377.0</v>
      </c>
      <c r="G61" s="2">
        <v>0.092</v>
      </c>
      <c r="H61" s="2">
        <v>14.0</v>
      </c>
      <c r="I61" s="2">
        <v>88.6</v>
      </c>
      <c r="J61" s="2">
        <v>13.59</v>
      </c>
      <c r="K61" s="2">
        <v>0.0</v>
      </c>
      <c r="L61" s="2">
        <v>3.1</v>
      </c>
      <c r="M61" s="2">
        <v>553756.43</v>
      </c>
      <c r="N61" s="2">
        <v>86166.77</v>
      </c>
    </row>
    <row r="62" ht="15.75" customHeight="1">
      <c r="A62" s="2" t="s">
        <v>37</v>
      </c>
      <c r="B62" s="3">
        <v>45658.0</v>
      </c>
      <c r="C62" s="2" t="s">
        <v>24</v>
      </c>
      <c r="D62" s="2" t="s">
        <v>18</v>
      </c>
      <c r="E62" s="2">
        <v>74907.98</v>
      </c>
      <c r="F62" s="2">
        <v>5306.0</v>
      </c>
      <c r="G62" s="2">
        <v>0.062</v>
      </c>
      <c r="H62" s="2">
        <v>16.0</v>
      </c>
      <c r="I62" s="2">
        <v>95.6</v>
      </c>
      <c r="J62" s="2">
        <v>1.02</v>
      </c>
      <c r="K62" s="2">
        <v>0.0</v>
      </c>
      <c r="L62" s="2">
        <v>3.7</v>
      </c>
      <c r="M62" s="2">
        <v>749559.71</v>
      </c>
      <c r="N62" s="2">
        <v>144522.53</v>
      </c>
    </row>
    <row r="63" ht="15.75" customHeight="1">
      <c r="A63" s="2" t="s">
        <v>37</v>
      </c>
      <c r="B63" s="3">
        <v>45689.0</v>
      </c>
      <c r="C63" s="2" t="s">
        <v>24</v>
      </c>
      <c r="D63" s="2" t="s">
        <v>18</v>
      </c>
      <c r="E63" s="2">
        <v>37284.66</v>
      </c>
      <c r="F63" s="2">
        <v>3928.0</v>
      </c>
      <c r="G63" s="2">
        <v>0.074</v>
      </c>
      <c r="H63" s="2">
        <v>12.0</v>
      </c>
      <c r="I63" s="2">
        <v>86.5</v>
      </c>
      <c r="J63" s="2">
        <v>1.64</v>
      </c>
      <c r="K63" s="2">
        <v>0.0</v>
      </c>
      <c r="L63" s="2">
        <v>3.8</v>
      </c>
      <c r="M63" s="2">
        <v>615966.48</v>
      </c>
      <c r="N63" s="2">
        <v>91509.38</v>
      </c>
    </row>
    <row r="64" ht="15.75" customHeight="1">
      <c r="A64" s="2" t="s">
        <v>37</v>
      </c>
      <c r="B64" s="3">
        <v>45717.0</v>
      </c>
      <c r="C64" s="2" t="s">
        <v>24</v>
      </c>
      <c r="D64" s="2" t="s">
        <v>18</v>
      </c>
      <c r="E64" s="2">
        <v>50343.19</v>
      </c>
      <c r="F64" s="2">
        <v>3845.0</v>
      </c>
      <c r="G64" s="2">
        <v>0.113</v>
      </c>
      <c r="H64" s="2">
        <v>9.0</v>
      </c>
      <c r="I64" s="2">
        <v>88.7</v>
      </c>
      <c r="J64" s="2">
        <v>5.15</v>
      </c>
      <c r="K64" s="2">
        <v>0.0</v>
      </c>
      <c r="L64" s="2">
        <v>3.3</v>
      </c>
      <c r="M64" s="2">
        <v>572011.2</v>
      </c>
      <c r="N64" s="2">
        <v>101409.68</v>
      </c>
    </row>
    <row r="65" ht="15.75" customHeight="1">
      <c r="A65" s="2" t="s">
        <v>37</v>
      </c>
      <c r="B65" s="3">
        <v>45748.0</v>
      </c>
      <c r="C65" s="2" t="s">
        <v>24</v>
      </c>
      <c r="D65" s="2" t="s">
        <v>18</v>
      </c>
      <c r="E65" s="2">
        <v>74954.47</v>
      </c>
      <c r="F65" s="2">
        <v>6620.0</v>
      </c>
      <c r="G65" s="2">
        <v>0.054</v>
      </c>
      <c r="H65" s="2">
        <v>17.0</v>
      </c>
      <c r="I65" s="2">
        <v>91.1</v>
      </c>
      <c r="J65" s="2">
        <v>1.11</v>
      </c>
      <c r="K65" s="2">
        <v>0.0</v>
      </c>
      <c r="L65" s="2">
        <v>3.5</v>
      </c>
      <c r="M65" s="2">
        <v>761860.19</v>
      </c>
      <c r="N65" s="2">
        <v>133279.38</v>
      </c>
    </row>
    <row r="66" ht="15.75" customHeight="1">
      <c r="A66" s="2" t="s">
        <v>38</v>
      </c>
      <c r="B66" s="3">
        <v>45658.0</v>
      </c>
      <c r="C66" s="2" t="s">
        <v>27</v>
      </c>
      <c r="D66" s="2" t="s">
        <v>18</v>
      </c>
      <c r="E66" s="2">
        <v>70040.31</v>
      </c>
      <c r="F66" s="2">
        <v>9175.0</v>
      </c>
      <c r="G66" s="2">
        <v>0.107</v>
      </c>
      <c r="H66" s="2">
        <v>23.0</v>
      </c>
      <c r="I66" s="2">
        <v>95.1</v>
      </c>
      <c r="J66" s="2">
        <v>6.08</v>
      </c>
      <c r="K66" s="2">
        <v>1.0</v>
      </c>
      <c r="L66" s="2">
        <v>3.4</v>
      </c>
      <c r="M66" s="2">
        <v>784502.68</v>
      </c>
      <c r="N66" s="2">
        <v>129519.72</v>
      </c>
    </row>
    <row r="67" ht="15.75" customHeight="1">
      <c r="A67" s="2" t="s">
        <v>38</v>
      </c>
      <c r="B67" s="3">
        <v>45689.0</v>
      </c>
      <c r="C67" s="2" t="s">
        <v>27</v>
      </c>
      <c r="D67" s="2" t="s">
        <v>18</v>
      </c>
      <c r="E67" s="2">
        <v>51148.69</v>
      </c>
      <c r="F67" s="2">
        <v>7940.0</v>
      </c>
      <c r="G67" s="2">
        <v>0.156</v>
      </c>
      <c r="H67" s="2">
        <v>18.0</v>
      </c>
      <c r="I67" s="2">
        <v>93.3</v>
      </c>
      <c r="J67" s="2">
        <v>10.91</v>
      </c>
      <c r="K67" s="2">
        <v>0.0</v>
      </c>
      <c r="L67" s="2">
        <v>3.6</v>
      </c>
      <c r="M67" s="2">
        <v>717141.55</v>
      </c>
      <c r="N67" s="2">
        <v>134013.61</v>
      </c>
    </row>
    <row r="68" ht="15.75" customHeight="1">
      <c r="A68" s="2" t="s">
        <v>38</v>
      </c>
      <c r="B68" s="3">
        <v>45717.0</v>
      </c>
      <c r="C68" s="2" t="s">
        <v>27</v>
      </c>
      <c r="D68" s="2" t="s">
        <v>18</v>
      </c>
      <c r="E68" s="2">
        <v>79346.1</v>
      </c>
      <c r="F68" s="2">
        <v>9628.0</v>
      </c>
      <c r="G68" s="2">
        <v>0.102</v>
      </c>
      <c r="H68" s="2">
        <v>20.0</v>
      </c>
      <c r="I68" s="2">
        <v>99.0</v>
      </c>
      <c r="J68" s="2">
        <v>19.01</v>
      </c>
      <c r="K68" s="2">
        <v>1.0</v>
      </c>
      <c r="L68" s="2">
        <v>3.2</v>
      </c>
      <c r="M68" s="2">
        <v>685379.08</v>
      </c>
      <c r="N68" s="2">
        <v>106898.82</v>
      </c>
    </row>
    <row r="69" ht="15.75" customHeight="1">
      <c r="A69" s="2" t="s">
        <v>38</v>
      </c>
      <c r="B69" s="3">
        <v>45748.0</v>
      </c>
      <c r="C69" s="2" t="s">
        <v>27</v>
      </c>
      <c r="D69" s="2" t="s">
        <v>18</v>
      </c>
      <c r="E69" s="2">
        <v>42018.4</v>
      </c>
      <c r="F69" s="2">
        <v>8296.0</v>
      </c>
      <c r="G69" s="2">
        <v>0.115</v>
      </c>
      <c r="H69" s="2">
        <v>17.0</v>
      </c>
      <c r="I69" s="2">
        <v>91.8</v>
      </c>
      <c r="J69" s="2">
        <v>0.77</v>
      </c>
      <c r="K69" s="2">
        <v>0.0</v>
      </c>
      <c r="L69" s="2">
        <v>3.4</v>
      </c>
      <c r="M69" s="2">
        <v>740496.65</v>
      </c>
      <c r="N69" s="2">
        <v>128020.9</v>
      </c>
    </row>
    <row r="70" ht="15.75" customHeight="1">
      <c r="A70" s="2" t="s">
        <v>39</v>
      </c>
      <c r="B70" s="3">
        <v>45658.0</v>
      </c>
      <c r="C70" s="2" t="s">
        <v>15</v>
      </c>
      <c r="D70" s="2" t="s">
        <v>18</v>
      </c>
      <c r="E70" s="2">
        <v>70937.24</v>
      </c>
      <c r="F70" s="2">
        <v>3595.0</v>
      </c>
      <c r="G70" s="2">
        <v>0.141</v>
      </c>
      <c r="H70" s="2">
        <v>11.0</v>
      </c>
      <c r="I70" s="2">
        <v>88.9</v>
      </c>
      <c r="J70" s="2">
        <v>2.83</v>
      </c>
      <c r="K70" s="2">
        <v>1.0</v>
      </c>
      <c r="L70" s="2">
        <v>3.3</v>
      </c>
      <c r="M70" s="2">
        <v>661927.14</v>
      </c>
      <c r="N70" s="2">
        <v>79218.57</v>
      </c>
    </row>
    <row r="71" ht="15.75" customHeight="1">
      <c r="A71" s="2" t="s">
        <v>39</v>
      </c>
      <c r="B71" s="3">
        <v>45689.0</v>
      </c>
      <c r="C71" s="2" t="s">
        <v>15</v>
      </c>
      <c r="D71" s="2" t="s">
        <v>18</v>
      </c>
      <c r="E71" s="2">
        <v>36813.45</v>
      </c>
      <c r="F71" s="2">
        <v>2834.0</v>
      </c>
      <c r="G71" s="2">
        <v>0.191</v>
      </c>
      <c r="H71" s="2">
        <v>11.0</v>
      </c>
      <c r="I71" s="2">
        <v>81.8</v>
      </c>
      <c r="J71" s="2">
        <v>2.33</v>
      </c>
      <c r="K71" s="2">
        <v>0.0</v>
      </c>
      <c r="L71" s="2">
        <v>3.3</v>
      </c>
      <c r="M71" s="2">
        <v>479050.5</v>
      </c>
      <c r="N71" s="2">
        <v>53651.11</v>
      </c>
    </row>
    <row r="72" ht="15.75" customHeight="1">
      <c r="A72" s="2" t="s">
        <v>39</v>
      </c>
      <c r="B72" s="3">
        <v>45717.0</v>
      </c>
      <c r="C72" s="2" t="s">
        <v>15</v>
      </c>
      <c r="D72" s="2" t="s">
        <v>18</v>
      </c>
      <c r="E72" s="2">
        <v>60571.82</v>
      </c>
      <c r="F72" s="2">
        <v>3193.0</v>
      </c>
      <c r="G72" s="2">
        <v>0.197</v>
      </c>
      <c r="H72" s="2">
        <v>7.0</v>
      </c>
      <c r="I72" s="2">
        <v>99.0</v>
      </c>
      <c r="J72" s="2">
        <v>1.43</v>
      </c>
      <c r="K72" s="2">
        <v>0.0</v>
      </c>
      <c r="L72" s="2">
        <v>3.2</v>
      </c>
      <c r="M72" s="2">
        <v>605023.87</v>
      </c>
      <c r="N72" s="2">
        <v>98545.81</v>
      </c>
    </row>
    <row r="73" ht="15.75" customHeight="1">
      <c r="A73" s="2" t="s">
        <v>39</v>
      </c>
      <c r="B73" s="3">
        <v>45748.0</v>
      </c>
      <c r="C73" s="2" t="s">
        <v>15</v>
      </c>
      <c r="D73" s="2" t="s">
        <v>18</v>
      </c>
      <c r="E73" s="2">
        <v>55081.16</v>
      </c>
      <c r="F73" s="2">
        <v>5485.0</v>
      </c>
      <c r="G73" s="2">
        <v>0.036</v>
      </c>
      <c r="H73" s="2">
        <v>12.0</v>
      </c>
      <c r="I73" s="2">
        <v>88.0</v>
      </c>
      <c r="J73" s="2"/>
      <c r="K73" s="2">
        <v>0.0</v>
      </c>
      <c r="L73" s="2">
        <v>3.5</v>
      </c>
      <c r="M73" s="2">
        <v>674774.09</v>
      </c>
      <c r="N73" s="2">
        <v>141917.59</v>
      </c>
    </row>
    <row r="74" ht="15.75" customHeight="1">
      <c r="A74" s="2" t="s">
        <v>40</v>
      </c>
      <c r="B74" s="3">
        <v>45658.0</v>
      </c>
      <c r="C74" s="2" t="s">
        <v>15</v>
      </c>
      <c r="D74" s="2" t="s">
        <v>16</v>
      </c>
      <c r="E74" s="2">
        <v>46201.46</v>
      </c>
      <c r="F74" s="2">
        <v>5918.0</v>
      </c>
      <c r="G74" s="2">
        <v>0.277</v>
      </c>
      <c r="H74" s="2">
        <v>13.0</v>
      </c>
      <c r="I74" s="2">
        <v>78.8</v>
      </c>
      <c r="J74" s="2">
        <v>4.91</v>
      </c>
      <c r="K74" s="2">
        <v>0.0</v>
      </c>
      <c r="L74" s="2">
        <v>4.5</v>
      </c>
      <c r="M74" s="2">
        <v>616069.41</v>
      </c>
      <c r="N74" s="2">
        <v>54453.99</v>
      </c>
    </row>
    <row r="75" ht="15.75" customHeight="1">
      <c r="A75" s="2" t="s">
        <v>40</v>
      </c>
      <c r="B75" s="3">
        <v>45689.0</v>
      </c>
      <c r="C75" s="2" t="s">
        <v>15</v>
      </c>
      <c r="D75" s="2" t="s">
        <v>16</v>
      </c>
      <c r="E75" s="2">
        <v>53762.92</v>
      </c>
      <c r="F75" s="2">
        <v>6821.0</v>
      </c>
      <c r="G75" s="2">
        <v>0.066</v>
      </c>
      <c r="H75" s="2">
        <v>19.0</v>
      </c>
      <c r="I75" s="2">
        <v>94.6</v>
      </c>
      <c r="J75" s="2">
        <v>7.03</v>
      </c>
      <c r="K75" s="2">
        <v>0.0</v>
      </c>
      <c r="L75" s="2">
        <v>4.4</v>
      </c>
      <c r="M75" s="2">
        <v>630829.94</v>
      </c>
      <c r="N75" s="2">
        <v>117090.02</v>
      </c>
    </row>
    <row r="76" ht="15.75" customHeight="1">
      <c r="A76" s="2" t="s">
        <v>40</v>
      </c>
      <c r="B76" s="3">
        <v>45717.0</v>
      </c>
      <c r="C76" s="2" t="s">
        <v>15</v>
      </c>
      <c r="D76" s="2" t="s">
        <v>16</v>
      </c>
      <c r="E76" s="2">
        <v>70144.78</v>
      </c>
      <c r="F76" s="2">
        <v>6806.0</v>
      </c>
      <c r="G76" s="2">
        <v>0.178</v>
      </c>
      <c r="H76" s="2">
        <v>20.0</v>
      </c>
      <c r="I76" s="2">
        <v>93.1</v>
      </c>
      <c r="J76" s="2">
        <v>0.28</v>
      </c>
      <c r="K76" s="2">
        <v>1.0</v>
      </c>
      <c r="L76" s="2">
        <v>4.3</v>
      </c>
      <c r="M76" s="2">
        <v>788087.68</v>
      </c>
      <c r="N76" s="2">
        <v>116803.42</v>
      </c>
    </row>
    <row r="77" ht="15.75" customHeight="1">
      <c r="A77" s="2" t="s">
        <v>40</v>
      </c>
      <c r="B77" s="3">
        <v>45748.0</v>
      </c>
      <c r="C77" s="2" t="s">
        <v>15</v>
      </c>
      <c r="D77" s="2" t="s">
        <v>16</v>
      </c>
      <c r="E77" s="2">
        <v>58749.63</v>
      </c>
      <c r="F77" s="2">
        <v>8252.0</v>
      </c>
      <c r="G77" s="2">
        <v>0.203</v>
      </c>
      <c r="H77" s="2">
        <v>20.0</v>
      </c>
      <c r="I77" s="2">
        <v>85.2</v>
      </c>
      <c r="J77" s="2">
        <v>3.61</v>
      </c>
      <c r="K77" s="2">
        <v>0.0</v>
      </c>
      <c r="L77" s="2">
        <v>4.5</v>
      </c>
      <c r="M77" s="2">
        <v>680840.36</v>
      </c>
      <c r="N77" s="2">
        <v>68007.68</v>
      </c>
    </row>
    <row r="78" ht="15.75" customHeight="1">
      <c r="A78" s="2" t="s">
        <v>41</v>
      </c>
      <c r="B78" s="3">
        <v>45658.0</v>
      </c>
      <c r="C78" s="2" t="s">
        <v>24</v>
      </c>
      <c r="D78" s="2" t="s">
        <v>18</v>
      </c>
      <c r="E78" s="2">
        <v>56973.18</v>
      </c>
      <c r="F78" s="2">
        <v>6662.0</v>
      </c>
      <c r="G78" s="2">
        <v>0.1</v>
      </c>
      <c r="H78" s="2">
        <v>15.0</v>
      </c>
      <c r="I78" s="2">
        <v>77.7</v>
      </c>
      <c r="J78" s="2">
        <v>7.52</v>
      </c>
      <c r="K78" s="2">
        <v>1.0</v>
      </c>
      <c r="L78" s="2">
        <v>3.2</v>
      </c>
      <c r="M78" s="2">
        <v>643657.47</v>
      </c>
      <c r="N78" s="2">
        <v>87022.45</v>
      </c>
    </row>
    <row r="79" ht="15.75" customHeight="1">
      <c r="A79" s="2" t="s">
        <v>41</v>
      </c>
      <c r="B79" s="3">
        <v>45689.0</v>
      </c>
      <c r="C79" s="2" t="s">
        <v>24</v>
      </c>
      <c r="D79" s="2" t="s">
        <v>18</v>
      </c>
      <c r="E79" s="2">
        <v>54872.82</v>
      </c>
      <c r="F79" s="2">
        <v>5962.0</v>
      </c>
      <c r="G79" s="2">
        <v>0.064</v>
      </c>
      <c r="H79" s="2">
        <v>12.0</v>
      </c>
      <c r="I79" s="2">
        <v>85.4</v>
      </c>
      <c r="J79" s="2">
        <v>2.58</v>
      </c>
      <c r="K79" s="2">
        <v>0.0</v>
      </c>
      <c r="L79" s="2">
        <v>2.9</v>
      </c>
      <c r="M79" s="2">
        <v>691112.6</v>
      </c>
      <c r="N79" s="2">
        <v>109212.83</v>
      </c>
    </row>
    <row r="80" ht="15.75" customHeight="1">
      <c r="A80" s="2" t="s">
        <v>41</v>
      </c>
      <c r="B80" s="3">
        <v>45717.0</v>
      </c>
      <c r="C80" s="2" t="s">
        <v>24</v>
      </c>
      <c r="D80" s="2" t="s">
        <v>18</v>
      </c>
      <c r="E80" s="2">
        <v>80562.81</v>
      </c>
      <c r="F80" s="2">
        <v>7470.0</v>
      </c>
      <c r="G80" s="2">
        <v>0.172</v>
      </c>
      <c r="H80" s="2">
        <v>16.0</v>
      </c>
      <c r="I80" s="2">
        <v>83.5</v>
      </c>
      <c r="J80" s="2">
        <v>2.29</v>
      </c>
      <c r="K80" s="2">
        <v>0.0</v>
      </c>
      <c r="L80" s="2">
        <v>3.3</v>
      </c>
      <c r="M80" s="2">
        <v>776922.17</v>
      </c>
      <c r="N80" s="2">
        <v>150701.93</v>
      </c>
    </row>
    <row r="81" ht="15.75" customHeight="1">
      <c r="A81" s="2" t="s">
        <v>41</v>
      </c>
      <c r="B81" s="3">
        <v>45748.0</v>
      </c>
      <c r="C81" s="2" t="s">
        <v>24</v>
      </c>
      <c r="D81" s="2" t="s">
        <v>18</v>
      </c>
      <c r="E81" s="2">
        <v>77999.9</v>
      </c>
      <c r="F81" s="2">
        <v>5974.0</v>
      </c>
      <c r="G81" s="2">
        <v>0.252</v>
      </c>
      <c r="H81" s="2">
        <v>14.0</v>
      </c>
      <c r="I81" s="2">
        <v>81.3</v>
      </c>
      <c r="J81" s="2">
        <v>2.39</v>
      </c>
      <c r="K81" s="2">
        <v>0.0</v>
      </c>
      <c r="L81" s="2">
        <v>3.2</v>
      </c>
      <c r="M81" s="2">
        <v>636561.34</v>
      </c>
      <c r="N81" s="2">
        <v>93861.06</v>
      </c>
    </row>
    <row r="82" ht="15.75" customHeight="1">
      <c r="A82" s="2" t="s">
        <v>42</v>
      </c>
      <c r="B82" s="3">
        <v>45658.0</v>
      </c>
      <c r="C82" s="2" t="s">
        <v>27</v>
      </c>
      <c r="D82" s="2" t="s">
        <v>28</v>
      </c>
      <c r="E82" s="2">
        <v>60881.01</v>
      </c>
      <c r="F82" s="2">
        <v>5410.0</v>
      </c>
      <c r="G82" s="2">
        <v>0.179</v>
      </c>
      <c r="H82" s="2">
        <v>15.0</v>
      </c>
      <c r="I82" s="2">
        <v>83.9</v>
      </c>
      <c r="J82" s="2">
        <v>5.24</v>
      </c>
      <c r="K82" s="2">
        <v>0.0</v>
      </c>
      <c r="L82" s="2">
        <v>4.6</v>
      </c>
      <c r="M82" s="2">
        <v>621369.58</v>
      </c>
      <c r="N82" s="2">
        <v>85493.64</v>
      </c>
    </row>
    <row r="83" ht="15.75" customHeight="1">
      <c r="A83" s="2" t="s">
        <v>42</v>
      </c>
      <c r="B83" s="3">
        <v>45689.0</v>
      </c>
      <c r="C83" s="2" t="s">
        <v>27</v>
      </c>
      <c r="D83" s="2" t="s">
        <v>28</v>
      </c>
      <c r="E83" s="2">
        <v>60628.38</v>
      </c>
      <c r="F83" s="2">
        <v>4451.0</v>
      </c>
      <c r="G83" s="2">
        <v>0.095</v>
      </c>
      <c r="H83" s="2">
        <v>10.0</v>
      </c>
      <c r="I83" s="2">
        <v>89.6</v>
      </c>
      <c r="J83" s="2">
        <v>3.17</v>
      </c>
      <c r="K83" s="2">
        <v>0.0</v>
      </c>
      <c r="L83" s="2">
        <v>4.6</v>
      </c>
      <c r="M83" s="2">
        <v>682208.01</v>
      </c>
      <c r="N83" s="2">
        <v>110318.84</v>
      </c>
    </row>
    <row r="84" ht="15.75" customHeight="1">
      <c r="A84" s="2" t="s">
        <v>42</v>
      </c>
      <c r="B84" s="3">
        <v>45717.0</v>
      </c>
      <c r="C84" s="2" t="s">
        <v>27</v>
      </c>
      <c r="D84" s="2" t="s">
        <v>28</v>
      </c>
      <c r="E84" s="2">
        <v>72731.14</v>
      </c>
      <c r="F84" s="2">
        <v>4644.0</v>
      </c>
      <c r="G84" s="2">
        <v>0.084</v>
      </c>
      <c r="H84" s="2">
        <v>15.0</v>
      </c>
      <c r="I84" s="2">
        <v>87.1</v>
      </c>
      <c r="J84" s="2">
        <v>2.66</v>
      </c>
      <c r="K84" s="2">
        <v>0.0</v>
      </c>
      <c r="L84" s="2">
        <v>4.6</v>
      </c>
      <c r="M84" s="2">
        <v>727241.86</v>
      </c>
      <c r="N84" s="2">
        <v>155810.3</v>
      </c>
    </row>
    <row r="85" ht="15.75" customHeight="1">
      <c r="A85" s="2" t="s">
        <v>42</v>
      </c>
      <c r="B85" s="3">
        <v>45748.0</v>
      </c>
      <c r="C85" s="2" t="s">
        <v>27</v>
      </c>
      <c r="D85" s="2" t="s">
        <v>28</v>
      </c>
      <c r="E85" s="2">
        <v>36475.71</v>
      </c>
      <c r="F85" s="2">
        <v>3559.0</v>
      </c>
      <c r="G85" s="2">
        <v>0.03</v>
      </c>
      <c r="H85" s="2">
        <v>8.0</v>
      </c>
      <c r="I85" s="2">
        <v>83.6</v>
      </c>
      <c r="J85" s="2">
        <v>1.41</v>
      </c>
      <c r="K85" s="2">
        <v>0.0</v>
      </c>
      <c r="L85" s="2">
        <v>4.2</v>
      </c>
      <c r="M85" s="2">
        <v>569100.78</v>
      </c>
      <c r="N85" s="2">
        <v>104808.78</v>
      </c>
    </row>
    <row r="86" ht="15.75" customHeight="1">
      <c r="A86" s="2" t="s">
        <v>43</v>
      </c>
      <c r="B86" s="3">
        <v>45658.0</v>
      </c>
      <c r="C86" s="2" t="s">
        <v>27</v>
      </c>
      <c r="D86" s="2" t="s">
        <v>18</v>
      </c>
      <c r="E86" s="2">
        <v>55388.11</v>
      </c>
      <c r="F86" s="2">
        <v>3091.0</v>
      </c>
      <c r="G86" s="2">
        <v>0.108</v>
      </c>
      <c r="H86" s="2">
        <v>7.0</v>
      </c>
      <c r="I86" s="2">
        <v>85.4</v>
      </c>
      <c r="J86" s="2">
        <v>7.34</v>
      </c>
      <c r="K86" s="2">
        <v>0.0</v>
      </c>
      <c r="L86" s="2">
        <v>4.9</v>
      </c>
      <c r="M86" s="2">
        <v>574436.29</v>
      </c>
      <c r="N86" s="2">
        <v>80271.99</v>
      </c>
    </row>
    <row r="87" ht="15.75" customHeight="1">
      <c r="A87" s="2" t="s">
        <v>43</v>
      </c>
      <c r="B87" s="3">
        <v>45689.0</v>
      </c>
      <c r="C87" s="2" t="s">
        <v>27</v>
      </c>
      <c r="D87" s="2" t="s">
        <v>18</v>
      </c>
      <c r="E87" s="2">
        <v>88443.77</v>
      </c>
      <c r="F87" s="2">
        <v>4004.0</v>
      </c>
      <c r="G87" s="2">
        <v>0.206</v>
      </c>
      <c r="H87" s="2">
        <v>11.0</v>
      </c>
      <c r="I87" s="2">
        <v>91.9</v>
      </c>
      <c r="J87" s="2">
        <v>5.95</v>
      </c>
      <c r="K87" s="2">
        <v>0.0</v>
      </c>
      <c r="L87" s="2"/>
      <c r="M87" s="2">
        <v>611766.72</v>
      </c>
      <c r="N87" s="2">
        <v>88275.61</v>
      </c>
    </row>
    <row r="88" ht="15.75" customHeight="1">
      <c r="A88" s="2" t="s">
        <v>43</v>
      </c>
      <c r="B88" s="3">
        <v>45717.0</v>
      </c>
      <c r="C88" s="2" t="s">
        <v>27</v>
      </c>
      <c r="D88" s="2" t="s">
        <v>18</v>
      </c>
      <c r="E88" s="2">
        <v>78231.91</v>
      </c>
      <c r="F88" s="2">
        <v>3788.0</v>
      </c>
      <c r="G88" s="2">
        <v>0.059</v>
      </c>
      <c r="H88" s="2">
        <v>11.0</v>
      </c>
      <c r="I88" s="2">
        <v>88.5</v>
      </c>
      <c r="J88" s="2">
        <v>15.51</v>
      </c>
      <c r="K88" s="2">
        <v>0.0</v>
      </c>
      <c r="L88" s="2">
        <v>4.3</v>
      </c>
      <c r="M88" s="2">
        <v>614596.32</v>
      </c>
      <c r="N88" s="2">
        <v>131199.41</v>
      </c>
    </row>
    <row r="89" ht="15.75" customHeight="1">
      <c r="A89" s="2" t="s">
        <v>43</v>
      </c>
      <c r="B89" s="3">
        <v>45748.0</v>
      </c>
      <c r="C89" s="2" t="s">
        <v>27</v>
      </c>
      <c r="D89" s="2" t="s">
        <v>18</v>
      </c>
      <c r="E89" s="2">
        <v>18996.32</v>
      </c>
      <c r="F89" s="2">
        <v>1260.0</v>
      </c>
      <c r="G89" s="2">
        <v>0.145</v>
      </c>
      <c r="H89" s="2">
        <v>9.0</v>
      </c>
      <c r="I89" s="2">
        <v>86.4</v>
      </c>
      <c r="J89" s="2">
        <v>4.31</v>
      </c>
      <c r="K89" s="2">
        <v>0.0</v>
      </c>
      <c r="L89" s="2">
        <v>4.6</v>
      </c>
      <c r="M89" s="2">
        <v>450711.92</v>
      </c>
      <c r="N89" s="2">
        <v>90043.76</v>
      </c>
    </row>
    <row r="90" ht="15.75" customHeight="1">
      <c r="A90" s="2" t="s">
        <v>44</v>
      </c>
      <c r="B90" s="3">
        <v>45658.0</v>
      </c>
      <c r="C90" s="2" t="s">
        <v>24</v>
      </c>
      <c r="D90" s="2" t="s">
        <v>28</v>
      </c>
      <c r="E90" s="2">
        <v>50517.94</v>
      </c>
      <c r="F90" s="2">
        <v>7024.0</v>
      </c>
      <c r="G90" s="2">
        <v>0.029</v>
      </c>
      <c r="H90" s="2">
        <v>18.0</v>
      </c>
      <c r="I90" s="2">
        <v>79.2</v>
      </c>
      <c r="J90" s="2">
        <v>6.61</v>
      </c>
      <c r="K90" s="2">
        <v>1.0</v>
      </c>
      <c r="L90" s="2">
        <v>4.1</v>
      </c>
      <c r="M90" s="2">
        <v>711213.46</v>
      </c>
      <c r="N90" s="2">
        <v>105863.26</v>
      </c>
    </row>
    <row r="91" ht="15.75" customHeight="1">
      <c r="A91" s="2" t="s">
        <v>44</v>
      </c>
      <c r="B91" s="3">
        <v>45689.0</v>
      </c>
      <c r="C91" s="2" t="s">
        <v>24</v>
      </c>
      <c r="D91" s="2" t="s">
        <v>28</v>
      </c>
      <c r="E91" s="2">
        <v>141540.29</v>
      </c>
      <c r="F91" s="2">
        <v>5400.0</v>
      </c>
      <c r="G91" s="2">
        <v>0.013</v>
      </c>
      <c r="H91" s="2">
        <v>12.0</v>
      </c>
      <c r="I91" s="2">
        <v>87.0</v>
      </c>
      <c r="J91" s="2">
        <v>4.26</v>
      </c>
      <c r="K91" s="2">
        <v>0.0</v>
      </c>
      <c r="L91" s="2">
        <v>4.5</v>
      </c>
      <c r="M91" s="2">
        <v>627171.9</v>
      </c>
      <c r="N91" s="2">
        <v>105772.75</v>
      </c>
    </row>
    <row r="92" ht="15.75" customHeight="1">
      <c r="A92" s="2" t="s">
        <v>44</v>
      </c>
      <c r="B92" s="3">
        <v>45717.0</v>
      </c>
      <c r="C92" s="2" t="s">
        <v>24</v>
      </c>
      <c r="D92" s="2" t="s">
        <v>28</v>
      </c>
      <c r="E92" s="2">
        <v>82116.19</v>
      </c>
      <c r="F92" s="2">
        <v>5988.0</v>
      </c>
      <c r="G92" s="2">
        <v>0.04</v>
      </c>
      <c r="H92" s="2">
        <v>17.0</v>
      </c>
      <c r="I92" s="2">
        <v>91.8</v>
      </c>
      <c r="J92" s="2">
        <v>5.75</v>
      </c>
      <c r="K92" s="2">
        <v>0.0</v>
      </c>
      <c r="L92" s="2">
        <v>4.7</v>
      </c>
      <c r="M92" s="2">
        <v>739852.58</v>
      </c>
      <c r="N92" s="2">
        <v>129386.43</v>
      </c>
    </row>
    <row r="93" ht="15.75" customHeight="1">
      <c r="A93" s="2" t="s">
        <v>44</v>
      </c>
      <c r="B93" s="3">
        <v>45748.0</v>
      </c>
      <c r="C93" s="2" t="s">
        <v>24</v>
      </c>
      <c r="D93" s="2" t="s">
        <v>28</v>
      </c>
      <c r="E93" s="2">
        <v>31207.51</v>
      </c>
      <c r="F93" s="2">
        <v>3701.0</v>
      </c>
      <c r="G93" s="2">
        <v>0.043</v>
      </c>
      <c r="H93" s="2">
        <v>11.0</v>
      </c>
      <c r="I93" s="2">
        <v>84.7</v>
      </c>
      <c r="J93" s="2">
        <v>0.33</v>
      </c>
      <c r="K93" s="2">
        <v>0.0</v>
      </c>
      <c r="L93" s="2">
        <v>4.3</v>
      </c>
      <c r="M93" s="2">
        <v>586307.22</v>
      </c>
      <c r="N93" s="2">
        <v>73927.85</v>
      </c>
    </row>
    <row r="94" ht="15.75" customHeight="1">
      <c r="A94" s="2" t="s">
        <v>45</v>
      </c>
      <c r="B94" s="3">
        <v>45658.0</v>
      </c>
      <c r="C94" s="2" t="s">
        <v>27</v>
      </c>
      <c r="D94" s="2" t="s">
        <v>16</v>
      </c>
      <c r="E94" s="2">
        <v>38966.59</v>
      </c>
      <c r="F94" s="2">
        <v>4509.0</v>
      </c>
      <c r="G94" s="2">
        <v>0.194</v>
      </c>
      <c r="H94" s="2">
        <v>14.0</v>
      </c>
      <c r="I94" s="2">
        <v>91.1</v>
      </c>
      <c r="J94" s="2">
        <v>2.92</v>
      </c>
      <c r="K94" s="2">
        <v>0.0</v>
      </c>
      <c r="L94" s="2">
        <v>4.6</v>
      </c>
      <c r="M94" s="2">
        <v>585937.48</v>
      </c>
      <c r="N94" s="2">
        <v>82624.2</v>
      </c>
    </row>
    <row r="95" ht="15.75" customHeight="1">
      <c r="A95" s="2" t="s">
        <v>45</v>
      </c>
      <c r="B95" s="3">
        <v>45689.0</v>
      </c>
      <c r="C95" s="2" t="s">
        <v>27</v>
      </c>
      <c r="D95" s="2" t="s">
        <v>16</v>
      </c>
      <c r="E95" s="2">
        <v>67439.3</v>
      </c>
      <c r="F95" s="2">
        <v>6477.0</v>
      </c>
      <c r="G95" s="2">
        <v>0.0</v>
      </c>
      <c r="H95" s="2">
        <v>16.0</v>
      </c>
      <c r="I95" s="2">
        <v>90.9</v>
      </c>
      <c r="J95" s="2">
        <v>1.64</v>
      </c>
      <c r="K95" s="2">
        <v>0.0</v>
      </c>
      <c r="L95" s="2">
        <v>4.5</v>
      </c>
      <c r="M95" s="2">
        <v>753473.55</v>
      </c>
      <c r="N95" s="2">
        <v>151527.22</v>
      </c>
    </row>
    <row r="96" ht="15.75" customHeight="1">
      <c r="A96" s="2" t="s">
        <v>45</v>
      </c>
      <c r="B96" s="3">
        <v>45717.0</v>
      </c>
      <c r="C96" s="2" t="s">
        <v>27</v>
      </c>
      <c r="D96" s="2" t="s">
        <v>16</v>
      </c>
      <c r="E96" s="2">
        <v>86421.88</v>
      </c>
      <c r="F96" s="2">
        <v>7970.0</v>
      </c>
      <c r="G96" s="2">
        <v>0.073</v>
      </c>
      <c r="H96" s="2">
        <v>17.0</v>
      </c>
      <c r="I96" s="2">
        <v>91.3</v>
      </c>
      <c r="J96" s="2">
        <v>0.8</v>
      </c>
      <c r="K96" s="2">
        <v>0.0</v>
      </c>
      <c r="L96" s="2">
        <v>5.0</v>
      </c>
      <c r="M96" s="2">
        <v>838250.32</v>
      </c>
      <c r="N96" s="2">
        <v>122939.34</v>
      </c>
    </row>
    <row r="97" ht="15.75" customHeight="1">
      <c r="A97" s="2" t="s">
        <v>45</v>
      </c>
      <c r="B97" s="3">
        <v>45748.0</v>
      </c>
      <c r="C97" s="2" t="s">
        <v>27</v>
      </c>
      <c r="D97" s="2" t="s">
        <v>16</v>
      </c>
      <c r="E97" s="2">
        <v>9534.65</v>
      </c>
      <c r="F97" s="2">
        <v>6057.0</v>
      </c>
      <c r="G97" s="2">
        <v>0.074</v>
      </c>
      <c r="H97" s="2">
        <v>15.0</v>
      </c>
      <c r="I97" s="2">
        <v>94.1</v>
      </c>
      <c r="J97" s="2">
        <v>5.79</v>
      </c>
      <c r="K97" s="2">
        <v>0.0</v>
      </c>
      <c r="L97" s="2">
        <v>4.5</v>
      </c>
      <c r="M97" s="2">
        <v>607898.12</v>
      </c>
      <c r="N97" s="2">
        <v>135404.85</v>
      </c>
    </row>
    <row r="98" ht="15.75" customHeight="1">
      <c r="A98" s="2" t="s">
        <v>46</v>
      </c>
      <c r="B98" s="3">
        <v>45658.0</v>
      </c>
      <c r="C98" s="2" t="s">
        <v>27</v>
      </c>
      <c r="D98" s="2" t="s">
        <v>28</v>
      </c>
      <c r="E98" s="2">
        <v>61132.07</v>
      </c>
      <c r="F98" s="2">
        <v>6394.0</v>
      </c>
      <c r="G98" s="2">
        <v>0.163</v>
      </c>
      <c r="H98" s="2">
        <v>19.0</v>
      </c>
      <c r="I98" s="2">
        <v>91.0</v>
      </c>
      <c r="J98" s="2">
        <v>19.6</v>
      </c>
      <c r="K98" s="2">
        <v>0.0</v>
      </c>
      <c r="L98" s="2">
        <v>4.4</v>
      </c>
      <c r="M98" s="2">
        <v>691113.62</v>
      </c>
      <c r="N98" s="2">
        <v>135145.44</v>
      </c>
    </row>
    <row r="99" ht="15.75" customHeight="1">
      <c r="A99" s="2" t="s">
        <v>46</v>
      </c>
      <c r="B99" s="3">
        <v>45689.0</v>
      </c>
      <c r="C99" s="2" t="s">
        <v>27</v>
      </c>
      <c r="D99" s="2" t="s">
        <v>28</v>
      </c>
      <c r="E99" s="2">
        <v>78839.39</v>
      </c>
      <c r="F99" s="2">
        <v>5150.0</v>
      </c>
      <c r="G99" s="2">
        <v>0.171</v>
      </c>
      <c r="H99" s="2">
        <v>13.0</v>
      </c>
      <c r="I99" s="2">
        <v>85.8</v>
      </c>
      <c r="J99" s="2">
        <v>7.57</v>
      </c>
      <c r="K99" s="2">
        <v>0.0</v>
      </c>
      <c r="L99" s="2">
        <v>4.3</v>
      </c>
      <c r="M99" s="2">
        <v>735509.4</v>
      </c>
      <c r="N99" s="2">
        <v>83895.96</v>
      </c>
    </row>
    <row r="100" ht="15.75" customHeight="1">
      <c r="A100" s="2" t="s">
        <v>46</v>
      </c>
      <c r="B100" s="3">
        <v>45717.0</v>
      </c>
      <c r="C100" s="2" t="s">
        <v>27</v>
      </c>
      <c r="D100" s="2" t="s">
        <v>28</v>
      </c>
      <c r="E100" s="2">
        <v>38752.8</v>
      </c>
      <c r="F100" s="2">
        <v>4712.0</v>
      </c>
      <c r="G100" s="2">
        <v>0.075</v>
      </c>
      <c r="H100" s="2">
        <v>15.0</v>
      </c>
      <c r="I100" s="2">
        <v>89.7</v>
      </c>
      <c r="J100" s="2"/>
      <c r="K100" s="2">
        <v>0.0</v>
      </c>
      <c r="L100" s="2">
        <v>4.3</v>
      </c>
      <c r="M100" s="2">
        <v>605775.33</v>
      </c>
      <c r="N100" s="2">
        <v>107194.6</v>
      </c>
    </row>
    <row r="101" ht="15.75" customHeight="1">
      <c r="A101" s="2" t="s">
        <v>46</v>
      </c>
      <c r="B101" s="3">
        <v>45748.0</v>
      </c>
      <c r="C101" s="2" t="s">
        <v>27</v>
      </c>
      <c r="D101" s="2" t="s">
        <v>28</v>
      </c>
      <c r="E101" s="2">
        <v>55101.1</v>
      </c>
      <c r="F101" s="2">
        <v>5281.0</v>
      </c>
      <c r="G101" s="2">
        <v>0.189</v>
      </c>
      <c r="H101" s="2">
        <v>11.0</v>
      </c>
      <c r="I101" s="2">
        <v>91.0</v>
      </c>
      <c r="J101" s="2">
        <v>2.7</v>
      </c>
      <c r="K101" s="2">
        <v>0.0</v>
      </c>
      <c r="L101" s="2">
        <v>4.4</v>
      </c>
      <c r="M101" s="2">
        <v>675177.68</v>
      </c>
      <c r="N101" s="2">
        <v>105628.68</v>
      </c>
    </row>
    <row r="102" ht="15.75" customHeight="1">
      <c r="A102" s="2" t="s">
        <v>47</v>
      </c>
      <c r="B102" s="3">
        <v>45658.0</v>
      </c>
      <c r="C102" s="2" t="s">
        <v>15</v>
      </c>
      <c r="D102" s="2" t="s">
        <v>28</v>
      </c>
      <c r="E102" s="2">
        <v>53084.76</v>
      </c>
      <c r="F102" s="2">
        <v>3642.0</v>
      </c>
      <c r="G102" s="2">
        <v>0.15</v>
      </c>
      <c r="H102" s="2">
        <v>12.0</v>
      </c>
      <c r="I102" s="2">
        <v>91.4</v>
      </c>
      <c r="J102" s="2">
        <v>0.2</v>
      </c>
      <c r="K102" s="2">
        <v>0.0</v>
      </c>
      <c r="L102" s="2">
        <v>4.4</v>
      </c>
      <c r="M102" s="2">
        <v>635181.35</v>
      </c>
      <c r="N102" s="2">
        <v>83341.25</v>
      </c>
    </row>
    <row r="103" ht="15.75" customHeight="1">
      <c r="A103" s="2" t="s">
        <v>47</v>
      </c>
      <c r="B103" s="3">
        <v>45689.0</v>
      </c>
      <c r="C103" s="2" t="s">
        <v>15</v>
      </c>
      <c r="D103" s="2" t="s">
        <v>28</v>
      </c>
      <c r="E103" s="2">
        <v>63101.59</v>
      </c>
      <c r="F103" s="2">
        <v>4373.0</v>
      </c>
      <c r="G103" s="2">
        <v>0.173</v>
      </c>
      <c r="H103" s="2">
        <v>14.0</v>
      </c>
      <c r="I103" s="2">
        <v>90.4</v>
      </c>
      <c r="J103" s="2">
        <v>7.87</v>
      </c>
      <c r="K103" s="2">
        <v>0.0</v>
      </c>
      <c r="L103" s="2">
        <v>4.7</v>
      </c>
      <c r="M103" s="2">
        <v>586626.94</v>
      </c>
      <c r="N103" s="2">
        <v>86498.55</v>
      </c>
    </row>
    <row r="104" ht="15.75" customHeight="1">
      <c r="A104" s="2" t="s">
        <v>47</v>
      </c>
      <c r="B104" s="3">
        <v>45717.0</v>
      </c>
      <c r="C104" s="2" t="s">
        <v>15</v>
      </c>
      <c r="D104" s="2" t="s">
        <v>28</v>
      </c>
      <c r="E104" s="2">
        <v>90084.4</v>
      </c>
      <c r="F104" s="2">
        <v>6832.0</v>
      </c>
      <c r="G104" s="2">
        <v>0.185</v>
      </c>
      <c r="H104" s="2">
        <v>14.0</v>
      </c>
      <c r="I104" s="2">
        <v>80.5</v>
      </c>
      <c r="J104" s="2">
        <v>0.77</v>
      </c>
      <c r="K104" s="2">
        <v>1.0</v>
      </c>
      <c r="L104" s="2">
        <v>4.4</v>
      </c>
      <c r="M104" s="2">
        <v>740102.64</v>
      </c>
      <c r="N104" s="2">
        <v>114299.07</v>
      </c>
    </row>
    <row r="105" ht="15.75" customHeight="1">
      <c r="A105" s="2" t="s">
        <v>47</v>
      </c>
      <c r="B105" s="3">
        <v>45748.0</v>
      </c>
      <c r="C105" s="2" t="s">
        <v>15</v>
      </c>
      <c r="D105" s="2" t="s">
        <v>28</v>
      </c>
      <c r="E105" s="2">
        <v>32266.64</v>
      </c>
      <c r="F105" s="2">
        <v>2414.0</v>
      </c>
      <c r="G105" s="2">
        <v>0.08</v>
      </c>
      <c r="H105" s="2">
        <v>7.0</v>
      </c>
      <c r="I105" s="2">
        <v>92.1</v>
      </c>
      <c r="J105" s="2">
        <v>1.48</v>
      </c>
      <c r="K105" s="2">
        <v>0.0</v>
      </c>
      <c r="L105" s="2">
        <v>5.0</v>
      </c>
      <c r="M105" s="2">
        <v>625514.04</v>
      </c>
      <c r="N105" s="2">
        <v>120685.08</v>
      </c>
    </row>
    <row r="106" ht="15.75" customHeight="1">
      <c r="A106" s="2" t="s">
        <v>48</v>
      </c>
      <c r="B106" s="3">
        <v>45658.0</v>
      </c>
      <c r="C106" s="2" t="s">
        <v>27</v>
      </c>
      <c r="D106" s="2" t="s">
        <v>18</v>
      </c>
      <c r="E106" s="2">
        <v>57919.07</v>
      </c>
      <c r="F106" s="2">
        <v>7374.0</v>
      </c>
      <c r="G106" s="2">
        <v>0.103</v>
      </c>
      <c r="H106" s="2">
        <v>21.0</v>
      </c>
      <c r="I106" s="2">
        <v>82.3</v>
      </c>
      <c r="J106" s="2">
        <v>2.87</v>
      </c>
      <c r="K106" s="2">
        <v>0.0</v>
      </c>
      <c r="L106" s="2">
        <v>2.9</v>
      </c>
      <c r="M106" s="2">
        <v>727227.2</v>
      </c>
      <c r="N106" s="2">
        <v>121292.01</v>
      </c>
    </row>
    <row r="107" ht="15.75" customHeight="1">
      <c r="A107" s="2" t="s">
        <v>48</v>
      </c>
      <c r="B107" s="3">
        <v>45689.0</v>
      </c>
      <c r="C107" s="2" t="s">
        <v>27</v>
      </c>
      <c r="D107" s="2" t="s">
        <v>18</v>
      </c>
      <c r="E107" s="2">
        <v>74679.35</v>
      </c>
      <c r="F107" s="2">
        <v>8739.0</v>
      </c>
      <c r="G107" s="2">
        <v>0.056</v>
      </c>
      <c r="H107" s="2">
        <v>21.0</v>
      </c>
      <c r="I107" s="2">
        <v>91.8</v>
      </c>
      <c r="J107" s="2">
        <v>2.83</v>
      </c>
      <c r="K107" s="2">
        <v>0.0</v>
      </c>
      <c r="L107" s="2">
        <v>3.0</v>
      </c>
      <c r="M107" s="2">
        <v>783797.89</v>
      </c>
      <c r="N107" s="2">
        <v>157620.7</v>
      </c>
    </row>
    <row r="108" ht="15.75" customHeight="1">
      <c r="A108" s="2" t="s">
        <v>48</v>
      </c>
      <c r="B108" s="3">
        <v>45717.0</v>
      </c>
      <c r="C108" s="2" t="s">
        <v>27</v>
      </c>
      <c r="D108" s="2" t="s">
        <v>18</v>
      </c>
      <c r="E108" s="2">
        <v>64294.23</v>
      </c>
      <c r="F108" s="2">
        <v>6992.0</v>
      </c>
      <c r="G108" s="2">
        <v>0.133</v>
      </c>
      <c r="H108" s="2">
        <v>14.0</v>
      </c>
      <c r="I108" s="2">
        <v>94.1</v>
      </c>
      <c r="J108" s="2">
        <v>0.25</v>
      </c>
      <c r="K108" s="2">
        <v>0.0</v>
      </c>
      <c r="L108" s="2">
        <v>3.0</v>
      </c>
      <c r="M108" s="2">
        <v>795153.84</v>
      </c>
      <c r="N108" s="2">
        <v>143194.21</v>
      </c>
    </row>
    <row r="109" ht="15.75" customHeight="1">
      <c r="A109" s="2" t="s">
        <v>48</v>
      </c>
      <c r="B109" s="3">
        <v>45748.0</v>
      </c>
      <c r="C109" s="2" t="s">
        <v>27</v>
      </c>
      <c r="D109" s="2" t="s">
        <v>18</v>
      </c>
      <c r="E109" s="2">
        <v>31042.03</v>
      </c>
      <c r="F109" s="2">
        <v>7107.0</v>
      </c>
      <c r="G109" s="2">
        <v>0.051</v>
      </c>
      <c r="H109" s="2">
        <v>15.0</v>
      </c>
      <c r="I109" s="2">
        <v>87.0</v>
      </c>
      <c r="J109" s="2">
        <v>13.33</v>
      </c>
      <c r="K109" s="2">
        <v>0.0</v>
      </c>
      <c r="L109" s="2">
        <v>3.2</v>
      </c>
      <c r="M109" s="2">
        <v>665594.94</v>
      </c>
      <c r="N109" s="2">
        <v>127597.34</v>
      </c>
    </row>
    <row r="110" ht="15.75" customHeight="1">
      <c r="A110" s="2" t="s">
        <v>49</v>
      </c>
      <c r="B110" s="3">
        <v>45658.0</v>
      </c>
      <c r="C110" s="2" t="s">
        <v>15</v>
      </c>
      <c r="D110" s="2" t="s">
        <v>28</v>
      </c>
      <c r="E110" s="2">
        <v>75265.02</v>
      </c>
      <c r="F110" s="2">
        <v>6975.0</v>
      </c>
      <c r="G110" s="2">
        <v>0.157</v>
      </c>
      <c r="H110" s="2">
        <v>20.0</v>
      </c>
      <c r="I110" s="2">
        <v>73.8</v>
      </c>
      <c r="J110" s="2">
        <v>6.35</v>
      </c>
      <c r="K110" s="2">
        <v>1.0</v>
      </c>
      <c r="L110" s="2">
        <v>3.8</v>
      </c>
      <c r="M110" s="2">
        <v>709478.39</v>
      </c>
      <c r="N110" s="2">
        <v>71294.27</v>
      </c>
    </row>
    <row r="111" ht="15.75" customHeight="1">
      <c r="A111" s="2" t="s">
        <v>49</v>
      </c>
      <c r="B111" s="3">
        <v>45689.0</v>
      </c>
      <c r="C111" s="2" t="s">
        <v>15</v>
      </c>
      <c r="D111" s="2" t="s">
        <v>28</v>
      </c>
      <c r="E111" s="2">
        <v>69411.7</v>
      </c>
      <c r="F111" s="2">
        <v>5493.0</v>
      </c>
      <c r="G111" s="2">
        <v>0.292</v>
      </c>
      <c r="H111" s="2">
        <v>13.0</v>
      </c>
      <c r="I111" s="2">
        <v>86.5</v>
      </c>
      <c r="J111" s="2">
        <v>6.69</v>
      </c>
      <c r="K111" s="2">
        <v>0.0</v>
      </c>
      <c r="L111" s="2">
        <v>3.8</v>
      </c>
      <c r="M111" s="2">
        <v>664162.49</v>
      </c>
      <c r="N111" s="2">
        <v>98291.06</v>
      </c>
    </row>
    <row r="112" ht="15.75" customHeight="1">
      <c r="A112" s="2" t="s">
        <v>49</v>
      </c>
      <c r="B112" s="3">
        <v>45717.0</v>
      </c>
      <c r="C112" s="2" t="s">
        <v>15</v>
      </c>
      <c r="D112" s="2" t="s">
        <v>28</v>
      </c>
      <c r="E112" s="2">
        <v>51056.15</v>
      </c>
      <c r="F112" s="2">
        <v>5686.0</v>
      </c>
      <c r="G112" s="2">
        <v>0.089</v>
      </c>
      <c r="H112" s="2">
        <v>13.0</v>
      </c>
      <c r="I112" s="2">
        <v>89.9</v>
      </c>
      <c r="J112" s="2">
        <v>1.28</v>
      </c>
      <c r="K112" s="2">
        <v>0.0</v>
      </c>
      <c r="L112" s="2">
        <v>4.2</v>
      </c>
      <c r="M112" s="2">
        <v>633494.21</v>
      </c>
      <c r="N112" s="2">
        <v>105739.47</v>
      </c>
    </row>
    <row r="113" ht="15.75" customHeight="1">
      <c r="A113" s="2" t="s">
        <v>49</v>
      </c>
      <c r="B113" s="3">
        <v>45748.0</v>
      </c>
      <c r="C113" s="2" t="s">
        <v>15</v>
      </c>
      <c r="D113" s="2" t="s">
        <v>28</v>
      </c>
      <c r="E113" s="2">
        <v>52758.01</v>
      </c>
      <c r="F113" s="2">
        <v>4063.0</v>
      </c>
      <c r="G113" s="2">
        <v>0.057</v>
      </c>
      <c r="H113" s="2">
        <v>12.0</v>
      </c>
      <c r="I113" s="2">
        <v>91.7</v>
      </c>
      <c r="J113" s="2">
        <v>0.92</v>
      </c>
      <c r="K113" s="2">
        <v>0.0</v>
      </c>
      <c r="L113" s="2">
        <v>3.5</v>
      </c>
      <c r="M113" s="2">
        <v>713611.16</v>
      </c>
      <c r="N113" s="2">
        <v>129717.18</v>
      </c>
    </row>
    <row r="114" ht="15.75" customHeight="1">
      <c r="A114" s="2" t="s">
        <v>50</v>
      </c>
      <c r="B114" s="3">
        <v>45658.0</v>
      </c>
      <c r="C114" s="2" t="s">
        <v>27</v>
      </c>
      <c r="D114" s="2" t="s">
        <v>28</v>
      </c>
      <c r="E114" s="2">
        <v>61426.04</v>
      </c>
      <c r="F114" s="2">
        <v>8966.0</v>
      </c>
      <c r="G114" s="2">
        <v>0.173</v>
      </c>
      <c r="H114" s="2">
        <v>22.0</v>
      </c>
      <c r="I114" s="2">
        <v>76.4</v>
      </c>
      <c r="J114" s="2">
        <v>1.05</v>
      </c>
      <c r="K114" s="2">
        <v>0.0</v>
      </c>
      <c r="L114" s="2">
        <v>3.1</v>
      </c>
      <c r="M114" s="2">
        <v>778397.97</v>
      </c>
      <c r="N114" s="2">
        <v>120044.41</v>
      </c>
    </row>
    <row r="115" ht="15.75" customHeight="1">
      <c r="A115" s="2" t="s">
        <v>50</v>
      </c>
      <c r="B115" s="3">
        <v>45689.0</v>
      </c>
      <c r="C115" s="2" t="s">
        <v>27</v>
      </c>
      <c r="D115" s="2" t="s">
        <v>28</v>
      </c>
      <c r="E115" s="2">
        <v>80176.34</v>
      </c>
      <c r="F115" s="2">
        <v>9489.0</v>
      </c>
      <c r="G115" s="2">
        <v>0.142</v>
      </c>
      <c r="H115" s="2">
        <v>22.0</v>
      </c>
      <c r="I115" s="2">
        <v>94.3</v>
      </c>
      <c r="J115" s="2">
        <v>2.67</v>
      </c>
      <c r="K115" s="2">
        <v>0.0</v>
      </c>
      <c r="L115" s="2">
        <v>3.5</v>
      </c>
      <c r="M115" s="2">
        <v>873380.02</v>
      </c>
      <c r="N115" s="2">
        <v>149734.76</v>
      </c>
    </row>
    <row r="116" ht="15.75" customHeight="1">
      <c r="A116" s="2" t="s">
        <v>50</v>
      </c>
      <c r="B116" s="3">
        <v>45717.0</v>
      </c>
      <c r="C116" s="2" t="s">
        <v>27</v>
      </c>
      <c r="D116" s="2" t="s">
        <v>28</v>
      </c>
      <c r="E116" s="2">
        <v>33605.18</v>
      </c>
      <c r="F116" s="2">
        <v>9225.0</v>
      </c>
      <c r="G116" s="2">
        <v>0.159</v>
      </c>
      <c r="H116" s="2">
        <v>23.0</v>
      </c>
      <c r="I116" s="2">
        <v>88.4</v>
      </c>
      <c r="J116" s="2">
        <v>5.91</v>
      </c>
      <c r="K116" s="2">
        <v>0.0</v>
      </c>
      <c r="L116" s="2">
        <v>2.8</v>
      </c>
      <c r="M116" s="2">
        <v>697287.9</v>
      </c>
      <c r="N116" s="2">
        <v>128208.33</v>
      </c>
    </row>
    <row r="117" ht="15.75" customHeight="1">
      <c r="A117" s="2" t="s">
        <v>50</v>
      </c>
      <c r="B117" s="3">
        <v>45748.0</v>
      </c>
      <c r="C117" s="2" t="s">
        <v>27</v>
      </c>
      <c r="D117" s="2" t="s">
        <v>28</v>
      </c>
      <c r="E117" s="2">
        <v>25990.54</v>
      </c>
      <c r="F117" s="2">
        <v>9249.0</v>
      </c>
      <c r="G117" s="2">
        <v>0.139</v>
      </c>
      <c r="H117" s="2">
        <v>23.0</v>
      </c>
      <c r="I117" s="2">
        <v>92.5</v>
      </c>
      <c r="J117" s="2">
        <v>6.37</v>
      </c>
      <c r="K117" s="2">
        <v>0.0</v>
      </c>
      <c r="L117" s="2">
        <v>3.3</v>
      </c>
      <c r="M117" s="2">
        <v>718074.79</v>
      </c>
      <c r="N117" s="2">
        <v>115819.87</v>
      </c>
    </row>
    <row r="118" ht="15.75" customHeight="1">
      <c r="A118" s="2" t="s">
        <v>51</v>
      </c>
      <c r="B118" s="3">
        <v>45658.0</v>
      </c>
      <c r="C118" s="2" t="s">
        <v>27</v>
      </c>
      <c r="D118" s="2" t="s">
        <v>16</v>
      </c>
      <c r="E118" s="2">
        <v>43685.14</v>
      </c>
      <c r="F118" s="2">
        <v>7821.0</v>
      </c>
      <c r="G118" s="2">
        <v>0.19</v>
      </c>
      <c r="H118" s="2">
        <v>17.0</v>
      </c>
      <c r="I118" s="2">
        <v>91.0</v>
      </c>
      <c r="J118" s="2">
        <v>2.49</v>
      </c>
      <c r="K118" s="2">
        <v>1.0</v>
      </c>
      <c r="L118" s="2">
        <v>4.7</v>
      </c>
      <c r="M118" s="2">
        <v>714942.43</v>
      </c>
      <c r="N118" s="2">
        <v>94697.71</v>
      </c>
    </row>
    <row r="119" ht="15.75" customHeight="1">
      <c r="A119" s="2" t="s">
        <v>51</v>
      </c>
      <c r="B119" s="3">
        <v>45689.0</v>
      </c>
      <c r="C119" s="2" t="s">
        <v>27</v>
      </c>
      <c r="D119" s="2" t="s">
        <v>16</v>
      </c>
      <c r="E119" s="2">
        <v>57360.01</v>
      </c>
      <c r="F119" s="2">
        <v>8434.0</v>
      </c>
      <c r="G119" s="2">
        <v>0.151</v>
      </c>
      <c r="H119" s="2">
        <v>19.0</v>
      </c>
      <c r="I119" s="2">
        <v>84.1</v>
      </c>
      <c r="J119" s="2">
        <v>1.56</v>
      </c>
      <c r="K119" s="2">
        <v>0.0</v>
      </c>
      <c r="L119" s="2">
        <v>4.7</v>
      </c>
      <c r="M119" s="2">
        <v>820519.04</v>
      </c>
      <c r="N119" s="2">
        <v>99035.88</v>
      </c>
    </row>
    <row r="120" ht="15.75" customHeight="1">
      <c r="A120" s="2" t="s">
        <v>51</v>
      </c>
      <c r="B120" s="3">
        <v>45717.0</v>
      </c>
      <c r="C120" s="2" t="s">
        <v>27</v>
      </c>
      <c r="D120" s="2" t="s">
        <v>16</v>
      </c>
      <c r="E120" s="2">
        <v>42415.47</v>
      </c>
      <c r="F120" s="2">
        <v>8512.0</v>
      </c>
      <c r="G120" s="2">
        <v>0.133</v>
      </c>
      <c r="H120" s="2">
        <v>18.0</v>
      </c>
      <c r="I120" s="2">
        <v>96.8</v>
      </c>
      <c r="J120" s="2">
        <v>14.95</v>
      </c>
      <c r="K120" s="2">
        <v>0.0</v>
      </c>
      <c r="L120" s="2">
        <v>4.6</v>
      </c>
      <c r="M120" s="2">
        <v>684217.32</v>
      </c>
      <c r="N120" s="2">
        <v>136217.19</v>
      </c>
    </row>
    <row r="121" ht="15.75" customHeight="1">
      <c r="A121" s="2" t="s">
        <v>51</v>
      </c>
      <c r="B121" s="3">
        <v>45748.0</v>
      </c>
      <c r="C121" s="2" t="s">
        <v>27</v>
      </c>
      <c r="D121" s="2" t="s">
        <v>16</v>
      </c>
      <c r="E121" s="2">
        <v>54968.98</v>
      </c>
      <c r="F121" s="2">
        <v>7816.0</v>
      </c>
      <c r="G121" s="2">
        <v>0.232</v>
      </c>
      <c r="H121" s="2">
        <v>19.0</v>
      </c>
      <c r="I121" s="2">
        <v>95.7</v>
      </c>
      <c r="J121" s="2">
        <v>7.85</v>
      </c>
      <c r="K121" s="2">
        <v>0.0</v>
      </c>
      <c r="L121" s="2">
        <v>4.7</v>
      </c>
      <c r="M121" s="2">
        <v>735480.19</v>
      </c>
      <c r="N121" s="2">
        <v>88342.11</v>
      </c>
    </row>
    <row r="122" ht="15.75" customHeight="1">
      <c r="A122" s="2" t="s">
        <v>52</v>
      </c>
      <c r="B122" s="3">
        <v>45658.0</v>
      </c>
      <c r="C122" s="2" t="s">
        <v>20</v>
      </c>
      <c r="D122" s="2" t="s">
        <v>18</v>
      </c>
      <c r="E122" s="2">
        <v>43896.13</v>
      </c>
      <c r="F122" s="2">
        <v>3853.0</v>
      </c>
      <c r="G122" s="2">
        <v>0.088</v>
      </c>
      <c r="H122" s="2">
        <v>13.0</v>
      </c>
      <c r="I122" s="2">
        <v>83.0</v>
      </c>
      <c r="J122" s="2">
        <v>6.8</v>
      </c>
      <c r="K122" s="2">
        <v>0.0</v>
      </c>
      <c r="L122" s="2">
        <v>4.4</v>
      </c>
      <c r="M122" s="2">
        <v>509484.81</v>
      </c>
      <c r="N122" s="2">
        <v>85742.36</v>
      </c>
    </row>
    <row r="123" ht="15.75" customHeight="1">
      <c r="A123" s="2" t="s">
        <v>52</v>
      </c>
      <c r="B123" s="3">
        <v>45689.0</v>
      </c>
      <c r="C123" s="2" t="s">
        <v>20</v>
      </c>
      <c r="D123" s="2" t="s">
        <v>18</v>
      </c>
      <c r="E123" s="2">
        <v>83044.17</v>
      </c>
      <c r="F123" s="2">
        <v>3694.0</v>
      </c>
      <c r="G123" s="2">
        <v>0.0</v>
      </c>
      <c r="H123" s="2">
        <v>14.0</v>
      </c>
      <c r="I123" s="2">
        <v>89.4</v>
      </c>
      <c r="J123" s="2">
        <v>2.2</v>
      </c>
      <c r="K123" s="2">
        <v>0.0</v>
      </c>
      <c r="L123" s="2">
        <v>3.7</v>
      </c>
      <c r="M123" s="2">
        <v>654317.09</v>
      </c>
      <c r="N123" s="2">
        <v>121446.89</v>
      </c>
    </row>
    <row r="124" ht="15.75" customHeight="1">
      <c r="A124" s="2" t="s">
        <v>52</v>
      </c>
      <c r="B124" s="3">
        <v>45717.0</v>
      </c>
      <c r="C124" s="2" t="s">
        <v>20</v>
      </c>
      <c r="D124" s="2" t="s">
        <v>18</v>
      </c>
      <c r="E124" s="2">
        <v>48396.13</v>
      </c>
      <c r="F124" s="2">
        <v>4423.0</v>
      </c>
      <c r="G124" s="2">
        <v>0.069</v>
      </c>
      <c r="H124" s="2">
        <v>15.0</v>
      </c>
      <c r="I124" s="2">
        <v>85.7</v>
      </c>
      <c r="J124" s="2">
        <v>1.88</v>
      </c>
      <c r="K124" s="2">
        <v>0.0</v>
      </c>
      <c r="L124" s="2">
        <v>3.9</v>
      </c>
      <c r="M124" s="2">
        <v>557487.26</v>
      </c>
      <c r="N124" s="2">
        <v>76432.19</v>
      </c>
    </row>
    <row r="125" ht="15.75" customHeight="1">
      <c r="A125" s="2" t="s">
        <v>52</v>
      </c>
      <c r="B125" s="3">
        <v>45748.0</v>
      </c>
      <c r="C125" s="2" t="s">
        <v>20</v>
      </c>
      <c r="D125" s="2" t="s">
        <v>18</v>
      </c>
      <c r="E125" s="2">
        <v>19063.48</v>
      </c>
      <c r="F125" s="2">
        <v>1906.0</v>
      </c>
      <c r="G125" s="2">
        <v>0.216</v>
      </c>
      <c r="H125" s="2">
        <v>10.0</v>
      </c>
      <c r="I125" s="2">
        <v>97.8</v>
      </c>
      <c r="J125" s="2">
        <v>15.79</v>
      </c>
      <c r="K125" s="2">
        <v>0.0</v>
      </c>
      <c r="L125" s="2">
        <v>4.4</v>
      </c>
      <c r="M125" s="2">
        <v>441275.42</v>
      </c>
      <c r="N125" s="2">
        <v>58234.87</v>
      </c>
    </row>
    <row r="126" ht="15.75" customHeight="1">
      <c r="A126" s="2" t="s">
        <v>53</v>
      </c>
      <c r="B126" s="3">
        <v>45658.0</v>
      </c>
      <c r="C126" s="2" t="s">
        <v>24</v>
      </c>
      <c r="D126" s="2" t="s">
        <v>18</v>
      </c>
      <c r="E126" s="2">
        <v>61541.21</v>
      </c>
      <c r="F126" s="2">
        <v>10396.0</v>
      </c>
      <c r="G126" s="2">
        <v>0.123</v>
      </c>
      <c r="H126" s="2">
        <v>25.0</v>
      </c>
      <c r="I126" s="2">
        <v>88.1</v>
      </c>
      <c r="J126" s="2">
        <v>2.34</v>
      </c>
      <c r="K126" s="2">
        <v>1.0</v>
      </c>
      <c r="L126" s="2">
        <v>4.8</v>
      </c>
      <c r="M126" s="2">
        <v>914544.17</v>
      </c>
      <c r="N126" s="2">
        <v>79831.73</v>
      </c>
    </row>
    <row r="127" ht="15.75" customHeight="1">
      <c r="A127" s="2" t="s">
        <v>53</v>
      </c>
      <c r="B127" s="3">
        <v>45689.0</v>
      </c>
      <c r="C127" s="2" t="s">
        <v>24</v>
      </c>
      <c r="D127" s="2" t="s">
        <v>18</v>
      </c>
      <c r="E127" s="2">
        <v>44747.0</v>
      </c>
      <c r="F127" s="2">
        <v>11076.0</v>
      </c>
      <c r="G127" s="2">
        <v>0.176</v>
      </c>
      <c r="H127" s="2">
        <v>27.0</v>
      </c>
      <c r="I127" s="2">
        <v>98.3</v>
      </c>
      <c r="J127" s="2">
        <v>0.54</v>
      </c>
      <c r="K127" s="2">
        <v>0.0</v>
      </c>
      <c r="L127" s="2">
        <v>4.4</v>
      </c>
      <c r="M127" s="2">
        <v>842439.67</v>
      </c>
      <c r="N127" s="2">
        <v>169983.63</v>
      </c>
    </row>
    <row r="128" ht="15.75" customHeight="1">
      <c r="A128" s="2" t="s">
        <v>53</v>
      </c>
      <c r="B128" s="3">
        <v>45717.0</v>
      </c>
      <c r="C128" s="2" t="s">
        <v>24</v>
      </c>
      <c r="D128" s="2" t="s">
        <v>18</v>
      </c>
      <c r="E128" s="2">
        <v>56517.9</v>
      </c>
      <c r="F128" s="2">
        <v>9574.0</v>
      </c>
      <c r="G128" s="2">
        <v>0.204</v>
      </c>
      <c r="H128" s="2">
        <v>20.0</v>
      </c>
      <c r="I128" s="2">
        <v>88.2</v>
      </c>
      <c r="J128" s="2">
        <v>5.37</v>
      </c>
      <c r="K128" s="2">
        <v>1.0</v>
      </c>
      <c r="L128" s="2">
        <v>4.9</v>
      </c>
      <c r="M128" s="2">
        <v>842157.92</v>
      </c>
      <c r="N128" s="2">
        <v>107348.22</v>
      </c>
    </row>
    <row r="129" ht="15.75" customHeight="1">
      <c r="A129" s="2" t="s">
        <v>53</v>
      </c>
      <c r="B129" s="3">
        <v>45748.0</v>
      </c>
      <c r="C129" s="2" t="s">
        <v>24</v>
      </c>
      <c r="D129" s="2" t="s">
        <v>18</v>
      </c>
      <c r="E129" s="2">
        <v>37828.5</v>
      </c>
      <c r="F129" s="2">
        <v>8221.0</v>
      </c>
      <c r="G129" s="2">
        <v>0.096</v>
      </c>
      <c r="H129" s="2">
        <v>19.0</v>
      </c>
      <c r="I129" s="2">
        <v>81.5</v>
      </c>
      <c r="J129" s="2">
        <v>3.19</v>
      </c>
      <c r="K129" s="2">
        <v>0.0</v>
      </c>
      <c r="L129" s="2">
        <v>4.8</v>
      </c>
      <c r="M129" s="2">
        <v>697155.3</v>
      </c>
      <c r="N129" s="2">
        <v>136408.54</v>
      </c>
    </row>
    <row r="130" ht="15.75" customHeight="1">
      <c r="A130" s="2" t="s">
        <v>54</v>
      </c>
      <c r="B130" s="3">
        <v>45658.0</v>
      </c>
      <c r="C130" s="2" t="s">
        <v>15</v>
      </c>
      <c r="D130" s="2" t="s">
        <v>18</v>
      </c>
      <c r="E130" s="2">
        <v>66250.53</v>
      </c>
      <c r="F130" s="2">
        <v>10618.0</v>
      </c>
      <c r="G130" s="2">
        <v>0.142</v>
      </c>
      <c r="H130" s="2">
        <v>27.0</v>
      </c>
      <c r="I130" s="2">
        <v>88.3</v>
      </c>
      <c r="J130" s="2">
        <v>1.1</v>
      </c>
      <c r="K130" s="2">
        <v>1.0</v>
      </c>
      <c r="L130" s="2">
        <v>4.4</v>
      </c>
      <c r="M130" s="2">
        <v>849018.3</v>
      </c>
      <c r="N130" s="2">
        <v>149035.13</v>
      </c>
    </row>
    <row r="131" ht="15.75" customHeight="1">
      <c r="A131" s="2" t="s">
        <v>54</v>
      </c>
      <c r="B131" s="3">
        <v>45689.0</v>
      </c>
      <c r="C131" s="2" t="s">
        <v>15</v>
      </c>
      <c r="D131" s="2" t="s">
        <v>18</v>
      </c>
      <c r="E131" s="2">
        <v>68410.93</v>
      </c>
      <c r="F131" s="2">
        <v>10596.0</v>
      </c>
      <c r="G131" s="2">
        <v>0.207</v>
      </c>
      <c r="H131" s="2">
        <v>25.0</v>
      </c>
      <c r="I131" s="2">
        <v>81.2</v>
      </c>
      <c r="J131" s="2">
        <v>0.21</v>
      </c>
      <c r="K131" s="2">
        <v>0.0</v>
      </c>
      <c r="L131" s="2">
        <v>4.0</v>
      </c>
      <c r="M131" s="2">
        <v>801830.35</v>
      </c>
      <c r="N131" s="2">
        <v>114875.32</v>
      </c>
    </row>
    <row r="132" ht="15.75" customHeight="1">
      <c r="A132" s="2" t="s">
        <v>54</v>
      </c>
      <c r="B132" s="3">
        <v>45717.0</v>
      </c>
      <c r="C132" s="2" t="s">
        <v>15</v>
      </c>
      <c r="D132" s="2" t="s">
        <v>18</v>
      </c>
      <c r="E132" s="2">
        <v>50735.63</v>
      </c>
      <c r="F132" s="2">
        <v>9619.0</v>
      </c>
      <c r="G132" s="2">
        <v>0.144</v>
      </c>
      <c r="H132" s="2">
        <v>19.0</v>
      </c>
      <c r="I132" s="2">
        <v>93.8</v>
      </c>
      <c r="J132" s="2">
        <v>5.12</v>
      </c>
      <c r="K132" s="2">
        <v>1.0</v>
      </c>
      <c r="L132" s="2">
        <v>4.5</v>
      </c>
      <c r="M132" s="2">
        <v>725235.28</v>
      </c>
      <c r="N132" s="2">
        <v>121632.24</v>
      </c>
    </row>
    <row r="133" ht="15.75" customHeight="1">
      <c r="A133" s="2" t="s">
        <v>54</v>
      </c>
      <c r="B133" s="3">
        <v>45748.0</v>
      </c>
      <c r="C133" s="2" t="s">
        <v>15</v>
      </c>
      <c r="D133" s="2" t="s">
        <v>18</v>
      </c>
      <c r="E133" s="2">
        <v>66455.8</v>
      </c>
      <c r="F133" s="2">
        <v>10836.0</v>
      </c>
      <c r="G133" s="2">
        <v>0.089</v>
      </c>
      <c r="H133" s="2">
        <v>25.0</v>
      </c>
      <c r="I133" s="2">
        <v>85.0</v>
      </c>
      <c r="J133" s="2">
        <v>9.77</v>
      </c>
      <c r="K133" s="2">
        <v>0.0</v>
      </c>
      <c r="L133" s="2">
        <v>4.5</v>
      </c>
      <c r="M133" s="2">
        <v>811452.72</v>
      </c>
      <c r="N133" s="2">
        <v>131325.67</v>
      </c>
    </row>
    <row r="134" ht="15.75" customHeight="1">
      <c r="A134" s="2" t="s">
        <v>55</v>
      </c>
      <c r="B134" s="3">
        <v>45658.0</v>
      </c>
      <c r="C134" s="2" t="s">
        <v>20</v>
      </c>
      <c r="D134" s="2" t="s">
        <v>18</v>
      </c>
      <c r="E134" s="2">
        <v>70276.28</v>
      </c>
      <c r="F134" s="2">
        <v>3043.0</v>
      </c>
      <c r="G134" s="2">
        <v>0.079</v>
      </c>
      <c r="H134" s="2">
        <v>9.0</v>
      </c>
      <c r="I134" s="2">
        <v>87.9</v>
      </c>
      <c r="J134" s="2">
        <v>3.77</v>
      </c>
      <c r="K134" s="2">
        <v>0.0</v>
      </c>
      <c r="L134" s="2">
        <v>4.4</v>
      </c>
      <c r="M134" s="2">
        <v>527300.13</v>
      </c>
      <c r="N134" s="2">
        <v>84197.87</v>
      </c>
    </row>
    <row r="135" ht="15.75" customHeight="1">
      <c r="A135" s="2" t="s">
        <v>55</v>
      </c>
      <c r="B135" s="3">
        <v>45689.0</v>
      </c>
      <c r="C135" s="2" t="s">
        <v>20</v>
      </c>
      <c r="D135" s="2" t="s">
        <v>18</v>
      </c>
      <c r="E135" s="2">
        <v>22071.64</v>
      </c>
      <c r="F135" s="2">
        <v>1814.0</v>
      </c>
      <c r="G135" s="2">
        <v>0.196</v>
      </c>
      <c r="H135" s="2">
        <v>8.0</v>
      </c>
      <c r="I135" s="2">
        <v>81.1</v>
      </c>
      <c r="J135" s="2">
        <v>0.78</v>
      </c>
      <c r="K135" s="2">
        <v>0.0</v>
      </c>
      <c r="L135" s="2"/>
      <c r="M135" s="2">
        <v>400831.65</v>
      </c>
      <c r="N135" s="2">
        <v>70979.31</v>
      </c>
    </row>
    <row r="136" ht="15.75" customHeight="1">
      <c r="A136" s="2" t="s">
        <v>55</v>
      </c>
      <c r="B136" s="3">
        <v>45717.0</v>
      </c>
      <c r="C136" s="2" t="s">
        <v>20</v>
      </c>
      <c r="D136" s="2" t="s">
        <v>18</v>
      </c>
      <c r="E136" s="2">
        <v>52285.45</v>
      </c>
      <c r="F136" s="2">
        <v>3618.0</v>
      </c>
      <c r="G136" s="2">
        <v>0.086</v>
      </c>
      <c r="H136" s="2">
        <v>11.0</v>
      </c>
      <c r="I136" s="2">
        <v>95.6</v>
      </c>
      <c r="J136" s="2">
        <v>5.17</v>
      </c>
      <c r="K136" s="2">
        <v>1.0</v>
      </c>
      <c r="L136" s="2">
        <v>4.4</v>
      </c>
      <c r="M136" s="2">
        <v>593247.25</v>
      </c>
      <c r="N136" s="2">
        <v>81240.29</v>
      </c>
    </row>
    <row r="137" ht="15.75" customHeight="1">
      <c r="A137" s="2" t="s">
        <v>55</v>
      </c>
      <c r="B137" s="3">
        <v>45748.0</v>
      </c>
      <c r="C137" s="2" t="s">
        <v>20</v>
      </c>
      <c r="D137" s="2" t="s">
        <v>18</v>
      </c>
      <c r="E137" s="2">
        <v>70366.76</v>
      </c>
      <c r="F137" s="2">
        <v>1963.0</v>
      </c>
      <c r="G137" s="2">
        <v>0.182</v>
      </c>
      <c r="H137" s="2">
        <v>8.0</v>
      </c>
      <c r="I137" s="2">
        <v>89.8</v>
      </c>
      <c r="J137" s="2">
        <v>3.2</v>
      </c>
      <c r="K137" s="2">
        <v>0.0</v>
      </c>
      <c r="L137" s="2">
        <v>4.6</v>
      </c>
      <c r="M137" s="2">
        <v>529075.95</v>
      </c>
      <c r="N137" s="2">
        <v>95978.83</v>
      </c>
    </row>
    <row r="138" ht="15.75" customHeight="1">
      <c r="A138" s="2" t="s">
        <v>56</v>
      </c>
      <c r="B138" s="3">
        <v>45658.0</v>
      </c>
      <c r="C138" s="2" t="s">
        <v>24</v>
      </c>
      <c r="D138" s="2" t="s">
        <v>16</v>
      </c>
      <c r="E138" s="2">
        <v>71320.66</v>
      </c>
      <c r="F138" s="2">
        <v>7888.0</v>
      </c>
      <c r="G138" s="2">
        <v>0.048</v>
      </c>
      <c r="H138" s="2">
        <v>20.0</v>
      </c>
      <c r="I138" s="2">
        <v>78.1</v>
      </c>
      <c r="J138" s="2">
        <v>3.4</v>
      </c>
      <c r="K138" s="2">
        <v>0.0</v>
      </c>
      <c r="L138" s="2"/>
      <c r="M138" s="2">
        <v>633638.03</v>
      </c>
      <c r="N138" s="2">
        <v>99402.01</v>
      </c>
    </row>
    <row r="139" ht="15.75" customHeight="1">
      <c r="A139" s="2" t="s">
        <v>56</v>
      </c>
      <c r="B139" s="3">
        <v>45689.0</v>
      </c>
      <c r="C139" s="2" t="s">
        <v>24</v>
      </c>
      <c r="D139" s="2" t="s">
        <v>16</v>
      </c>
      <c r="E139" s="2">
        <v>75109.67</v>
      </c>
      <c r="F139" s="2">
        <v>6244.0</v>
      </c>
      <c r="G139" s="2">
        <v>0.079</v>
      </c>
      <c r="H139" s="2">
        <v>15.0</v>
      </c>
      <c r="I139" s="2">
        <v>96.3</v>
      </c>
      <c r="J139" s="2">
        <v>7.38</v>
      </c>
      <c r="K139" s="2">
        <v>0.0</v>
      </c>
      <c r="L139" s="2">
        <v>3.7</v>
      </c>
      <c r="M139" s="2">
        <v>743348.84</v>
      </c>
      <c r="N139" s="2">
        <v>104186.09</v>
      </c>
    </row>
    <row r="140" ht="15.75" customHeight="1">
      <c r="A140" s="2" t="s">
        <v>56</v>
      </c>
      <c r="B140" s="3">
        <v>45717.0</v>
      </c>
      <c r="C140" s="2" t="s">
        <v>24</v>
      </c>
      <c r="D140" s="2" t="s">
        <v>16</v>
      </c>
      <c r="E140" s="2">
        <v>69779.0</v>
      </c>
      <c r="F140" s="2">
        <v>6544.0</v>
      </c>
      <c r="G140" s="2">
        <v>0.152</v>
      </c>
      <c r="H140" s="2">
        <v>18.0</v>
      </c>
      <c r="I140" s="2">
        <v>90.2</v>
      </c>
      <c r="J140" s="2">
        <v>0.85</v>
      </c>
      <c r="K140" s="2">
        <v>1.0</v>
      </c>
      <c r="L140" s="2">
        <v>3.3</v>
      </c>
      <c r="M140" s="2">
        <v>758827.64</v>
      </c>
      <c r="N140" s="2">
        <v>161439.48</v>
      </c>
    </row>
    <row r="141" ht="15.75" customHeight="1">
      <c r="A141" s="2" t="s">
        <v>56</v>
      </c>
      <c r="B141" s="3">
        <v>45748.0</v>
      </c>
      <c r="C141" s="2" t="s">
        <v>24</v>
      </c>
      <c r="D141" s="2" t="s">
        <v>16</v>
      </c>
      <c r="E141" s="2">
        <v>44211.95</v>
      </c>
      <c r="F141" s="2">
        <v>5465.0</v>
      </c>
      <c r="G141" s="2">
        <v>0.187</v>
      </c>
      <c r="H141" s="2">
        <v>12.0</v>
      </c>
      <c r="I141" s="2">
        <v>90.0</v>
      </c>
      <c r="J141" s="2">
        <v>2.89</v>
      </c>
      <c r="K141" s="2">
        <v>0.0</v>
      </c>
      <c r="L141" s="2">
        <v>3.6</v>
      </c>
      <c r="M141" s="2">
        <v>646559.71</v>
      </c>
      <c r="N141" s="2">
        <v>97981.75</v>
      </c>
    </row>
    <row r="142" ht="15.75" customHeight="1">
      <c r="A142" s="2" t="s">
        <v>57</v>
      </c>
      <c r="B142" s="3">
        <v>45658.0</v>
      </c>
      <c r="C142" s="2" t="s">
        <v>27</v>
      </c>
      <c r="D142" s="2" t="s">
        <v>18</v>
      </c>
      <c r="E142" s="2">
        <v>51430.31</v>
      </c>
      <c r="F142" s="2">
        <v>6427.0</v>
      </c>
      <c r="G142" s="2">
        <v>0.234</v>
      </c>
      <c r="H142" s="2">
        <v>14.0</v>
      </c>
      <c r="I142" s="2">
        <v>88.8</v>
      </c>
      <c r="J142" s="2">
        <v>0.77</v>
      </c>
      <c r="K142" s="2">
        <v>0.0</v>
      </c>
      <c r="L142" s="2">
        <v>4.1</v>
      </c>
      <c r="M142" s="2">
        <v>715890.53</v>
      </c>
      <c r="N142" s="2">
        <v>109032.15</v>
      </c>
    </row>
    <row r="143" ht="15.75" customHeight="1">
      <c r="A143" s="2" t="s">
        <v>57</v>
      </c>
      <c r="B143" s="3">
        <v>45689.0</v>
      </c>
      <c r="C143" s="2" t="s">
        <v>27</v>
      </c>
      <c r="D143" s="2" t="s">
        <v>18</v>
      </c>
      <c r="E143" s="2">
        <v>45706.49</v>
      </c>
      <c r="F143" s="2">
        <v>6704.0</v>
      </c>
      <c r="G143" s="2">
        <v>0.038</v>
      </c>
      <c r="H143" s="2">
        <v>15.0</v>
      </c>
      <c r="I143" s="2">
        <v>94.2</v>
      </c>
      <c r="J143" s="2">
        <v>2.92</v>
      </c>
      <c r="K143" s="2">
        <v>0.0</v>
      </c>
      <c r="L143" s="2">
        <v>4.2</v>
      </c>
      <c r="M143" s="2">
        <v>715097.57</v>
      </c>
      <c r="N143" s="2">
        <v>151875.86</v>
      </c>
    </row>
    <row r="144" ht="15.75" customHeight="1">
      <c r="A144" s="2" t="s">
        <v>57</v>
      </c>
      <c r="B144" s="3">
        <v>45717.0</v>
      </c>
      <c r="C144" s="2" t="s">
        <v>27</v>
      </c>
      <c r="D144" s="2" t="s">
        <v>18</v>
      </c>
      <c r="E144" s="2">
        <v>44034.6</v>
      </c>
      <c r="F144" s="2">
        <v>5645.0</v>
      </c>
      <c r="G144" s="2">
        <v>0.069</v>
      </c>
      <c r="H144" s="2">
        <v>18.0</v>
      </c>
      <c r="I144" s="2">
        <v>88.5</v>
      </c>
      <c r="J144" s="2">
        <v>3.07</v>
      </c>
      <c r="K144" s="2">
        <v>0.0</v>
      </c>
      <c r="L144" s="2">
        <v>3.8</v>
      </c>
      <c r="M144" s="2">
        <v>682639.28</v>
      </c>
      <c r="N144" s="2">
        <v>77557.53</v>
      </c>
    </row>
    <row r="145" ht="15.75" customHeight="1">
      <c r="A145" s="2" t="s">
        <v>57</v>
      </c>
      <c r="B145" s="3">
        <v>45748.0</v>
      </c>
      <c r="C145" s="2" t="s">
        <v>27</v>
      </c>
      <c r="D145" s="2" t="s">
        <v>18</v>
      </c>
      <c r="E145" s="2">
        <v>50198.12</v>
      </c>
      <c r="F145" s="2">
        <v>6089.0</v>
      </c>
      <c r="G145" s="2">
        <v>0.182</v>
      </c>
      <c r="H145" s="2">
        <v>19.0</v>
      </c>
      <c r="I145" s="2">
        <v>94.0</v>
      </c>
      <c r="J145" s="2">
        <v>9.7</v>
      </c>
      <c r="K145" s="2">
        <v>0.0</v>
      </c>
      <c r="L145" s="2">
        <v>3.9</v>
      </c>
      <c r="M145" s="2">
        <v>695098.51</v>
      </c>
      <c r="N145" s="2">
        <v>108192.75</v>
      </c>
    </row>
    <row r="146" ht="15.75" customHeight="1">
      <c r="A146" s="2" t="s">
        <v>58</v>
      </c>
      <c r="B146" s="3">
        <v>45658.0</v>
      </c>
      <c r="C146" s="2" t="s">
        <v>20</v>
      </c>
      <c r="D146" s="2" t="s">
        <v>16</v>
      </c>
      <c r="E146" s="2">
        <v>70488.2</v>
      </c>
      <c r="F146" s="2">
        <v>4312.0</v>
      </c>
      <c r="G146" s="2">
        <v>0.169</v>
      </c>
      <c r="H146" s="2">
        <v>12.0</v>
      </c>
      <c r="I146" s="2">
        <v>90.2</v>
      </c>
      <c r="J146" s="2">
        <v>3.71</v>
      </c>
      <c r="K146" s="2">
        <v>0.0</v>
      </c>
      <c r="L146" s="2">
        <v>3.2</v>
      </c>
      <c r="M146" s="2">
        <v>577732.57</v>
      </c>
      <c r="N146" s="2">
        <v>93804.27</v>
      </c>
    </row>
    <row r="147" ht="15.75" customHeight="1">
      <c r="A147" s="2" t="s">
        <v>58</v>
      </c>
      <c r="B147" s="3">
        <v>45689.0</v>
      </c>
      <c r="C147" s="2" t="s">
        <v>20</v>
      </c>
      <c r="D147" s="2" t="s">
        <v>16</v>
      </c>
      <c r="E147" s="2">
        <v>50909.27</v>
      </c>
      <c r="F147" s="2">
        <v>3152.0</v>
      </c>
      <c r="G147" s="2">
        <v>0.06</v>
      </c>
      <c r="H147" s="2">
        <v>13.0</v>
      </c>
      <c r="I147" s="2">
        <v>93.7</v>
      </c>
      <c r="J147" s="2">
        <v>10.79</v>
      </c>
      <c r="K147" s="2">
        <v>0.0</v>
      </c>
      <c r="L147" s="2">
        <v>3.5</v>
      </c>
      <c r="M147" s="2">
        <v>537058.33</v>
      </c>
      <c r="N147" s="2">
        <v>93555.71</v>
      </c>
    </row>
    <row r="148" ht="15.75" customHeight="1">
      <c r="A148" s="2" t="s">
        <v>58</v>
      </c>
      <c r="B148" s="3">
        <v>45717.0</v>
      </c>
      <c r="C148" s="2" t="s">
        <v>20</v>
      </c>
      <c r="D148" s="2" t="s">
        <v>16</v>
      </c>
      <c r="E148" s="2">
        <v>53351.7</v>
      </c>
      <c r="F148" s="2">
        <v>4259.0</v>
      </c>
      <c r="G148" s="2">
        <v>0.156</v>
      </c>
      <c r="H148" s="2">
        <v>15.0</v>
      </c>
      <c r="I148" s="2">
        <v>93.7</v>
      </c>
      <c r="J148" s="2">
        <v>6.03</v>
      </c>
      <c r="K148" s="2">
        <v>0.0</v>
      </c>
      <c r="L148" s="2">
        <v>3.4</v>
      </c>
      <c r="M148" s="2">
        <v>601568.87</v>
      </c>
      <c r="N148" s="2">
        <v>91634.82</v>
      </c>
    </row>
    <row r="149" ht="15.75" customHeight="1">
      <c r="A149" s="2" t="s">
        <v>58</v>
      </c>
      <c r="B149" s="3">
        <v>45748.0</v>
      </c>
      <c r="C149" s="2" t="s">
        <v>20</v>
      </c>
      <c r="D149" s="2" t="s">
        <v>16</v>
      </c>
      <c r="E149" s="2">
        <v>60322.4</v>
      </c>
      <c r="F149" s="2">
        <v>3350.0</v>
      </c>
      <c r="G149" s="2">
        <v>0.108</v>
      </c>
      <c r="H149" s="2">
        <v>12.0</v>
      </c>
      <c r="I149" s="2">
        <v>89.4</v>
      </c>
      <c r="J149" s="2">
        <v>4.92</v>
      </c>
      <c r="K149" s="2">
        <v>0.0</v>
      </c>
      <c r="L149" s="2">
        <v>3.4</v>
      </c>
      <c r="M149" s="2">
        <v>570964.84</v>
      </c>
      <c r="N149" s="2">
        <v>81331.07</v>
      </c>
    </row>
    <row r="150" ht="15.75" customHeight="1">
      <c r="A150" s="2" t="s">
        <v>59</v>
      </c>
      <c r="B150" s="3">
        <v>45658.0</v>
      </c>
      <c r="C150" s="2" t="s">
        <v>24</v>
      </c>
      <c r="D150" s="2" t="s">
        <v>28</v>
      </c>
      <c r="E150" s="2">
        <v>51575.68</v>
      </c>
      <c r="F150" s="2">
        <v>5329.0</v>
      </c>
      <c r="G150" s="2">
        <v>0.047</v>
      </c>
      <c r="H150" s="2">
        <v>17.0</v>
      </c>
      <c r="I150" s="2">
        <v>88.1</v>
      </c>
      <c r="J150" s="2">
        <v>19.78</v>
      </c>
      <c r="K150" s="2">
        <v>0.0</v>
      </c>
      <c r="L150" s="2">
        <v>3.8</v>
      </c>
      <c r="M150" s="2">
        <v>614024.91</v>
      </c>
      <c r="N150" s="2">
        <v>84828.93</v>
      </c>
    </row>
    <row r="151" ht="15.75" customHeight="1">
      <c r="A151" s="2" t="s">
        <v>59</v>
      </c>
      <c r="B151" s="3">
        <v>45689.0</v>
      </c>
      <c r="C151" s="2" t="s">
        <v>24</v>
      </c>
      <c r="D151" s="2" t="s">
        <v>28</v>
      </c>
      <c r="E151" s="2">
        <v>43319.94</v>
      </c>
      <c r="F151" s="2">
        <v>6551.0</v>
      </c>
      <c r="G151" s="2">
        <v>0.044</v>
      </c>
      <c r="H151" s="2">
        <v>13.0</v>
      </c>
      <c r="I151" s="2">
        <v>99.0</v>
      </c>
      <c r="J151" s="2">
        <v>5.45</v>
      </c>
      <c r="K151" s="2">
        <v>0.0</v>
      </c>
      <c r="L151" s="2">
        <v>4.1</v>
      </c>
      <c r="M151" s="2">
        <v>712868.35</v>
      </c>
      <c r="N151" s="2">
        <v>133650.51</v>
      </c>
    </row>
    <row r="152" ht="15.75" customHeight="1">
      <c r="A152" s="2" t="s">
        <v>59</v>
      </c>
      <c r="B152" s="3">
        <v>45717.0</v>
      </c>
      <c r="C152" s="2" t="s">
        <v>24</v>
      </c>
      <c r="D152" s="2" t="s">
        <v>28</v>
      </c>
      <c r="E152" s="2">
        <v>47093.55</v>
      </c>
      <c r="F152" s="2">
        <v>5550.0</v>
      </c>
      <c r="G152" s="2">
        <v>0.1</v>
      </c>
      <c r="H152" s="2">
        <v>12.0</v>
      </c>
      <c r="I152" s="2">
        <v>95.0</v>
      </c>
      <c r="J152" s="2">
        <v>2.33</v>
      </c>
      <c r="K152" s="2">
        <v>1.0</v>
      </c>
      <c r="L152" s="2">
        <v>3.7</v>
      </c>
      <c r="M152" s="2">
        <v>696744.15</v>
      </c>
      <c r="N152" s="2">
        <v>152230.09</v>
      </c>
    </row>
    <row r="153" ht="15.75" customHeight="1">
      <c r="A153" s="2" t="s">
        <v>59</v>
      </c>
      <c r="B153" s="3">
        <v>45748.0</v>
      </c>
      <c r="C153" s="2" t="s">
        <v>24</v>
      </c>
      <c r="D153" s="2" t="s">
        <v>28</v>
      </c>
      <c r="E153" s="2">
        <v>71855.09</v>
      </c>
      <c r="F153" s="2">
        <v>5911.0</v>
      </c>
      <c r="G153" s="2">
        <v>0.197</v>
      </c>
      <c r="H153" s="2">
        <v>15.0</v>
      </c>
      <c r="I153" s="2">
        <v>94.3</v>
      </c>
      <c r="J153" s="2">
        <v>3.55</v>
      </c>
      <c r="K153" s="2">
        <v>0.0</v>
      </c>
      <c r="L153" s="2">
        <v>4.1</v>
      </c>
      <c r="M153" s="2">
        <v>725847.99</v>
      </c>
      <c r="N153" s="2">
        <v>122698.73</v>
      </c>
    </row>
    <row r="154" ht="15.75" customHeight="1">
      <c r="A154" s="2" t="s">
        <v>60</v>
      </c>
      <c r="B154" s="3">
        <v>45658.0</v>
      </c>
      <c r="C154" s="2" t="s">
        <v>15</v>
      </c>
      <c r="D154" s="2" t="s">
        <v>18</v>
      </c>
      <c r="E154" s="2">
        <v>75645.23</v>
      </c>
      <c r="F154" s="2">
        <v>9674.0</v>
      </c>
      <c r="G154" s="2">
        <v>0.234</v>
      </c>
      <c r="H154" s="2">
        <v>21.0</v>
      </c>
      <c r="I154" s="2">
        <v>87.4</v>
      </c>
      <c r="J154" s="2">
        <v>0.2</v>
      </c>
      <c r="K154" s="2">
        <v>0.0</v>
      </c>
      <c r="L154" s="2">
        <v>4.5</v>
      </c>
      <c r="M154" s="2">
        <v>785028.25</v>
      </c>
      <c r="N154" s="2">
        <v>110726.44</v>
      </c>
    </row>
    <row r="155" ht="15.75" customHeight="1">
      <c r="A155" s="2" t="s">
        <v>60</v>
      </c>
      <c r="B155" s="3">
        <v>45689.0</v>
      </c>
      <c r="C155" s="2" t="s">
        <v>15</v>
      </c>
      <c r="D155" s="2" t="s">
        <v>18</v>
      </c>
      <c r="E155" s="2">
        <v>64374.75</v>
      </c>
      <c r="F155" s="2">
        <v>6740.0</v>
      </c>
      <c r="G155" s="2">
        <v>0.169</v>
      </c>
      <c r="H155" s="2">
        <v>18.0</v>
      </c>
      <c r="I155" s="2">
        <v>87.0</v>
      </c>
      <c r="J155" s="2">
        <v>2.09</v>
      </c>
      <c r="K155" s="2">
        <v>0.0</v>
      </c>
      <c r="L155" s="2">
        <v>4.2</v>
      </c>
      <c r="M155" s="2">
        <v>698492.67</v>
      </c>
      <c r="N155" s="2">
        <v>117319.32</v>
      </c>
    </row>
    <row r="156" ht="15.75" customHeight="1">
      <c r="A156" s="2" t="s">
        <v>60</v>
      </c>
      <c r="B156" s="3">
        <v>45717.0</v>
      </c>
      <c r="C156" s="2" t="s">
        <v>15</v>
      </c>
      <c r="D156" s="2" t="s">
        <v>18</v>
      </c>
      <c r="E156" s="2">
        <v>61433.84</v>
      </c>
      <c r="F156" s="2">
        <v>7745.0</v>
      </c>
      <c r="G156" s="2">
        <v>0.18</v>
      </c>
      <c r="H156" s="2">
        <v>16.0</v>
      </c>
      <c r="I156" s="2">
        <v>90.5</v>
      </c>
      <c r="J156" s="2">
        <v>2.26</v>
      </c>
      <c r="K156" s="2">
        <v>0.0</v>
      </c>
      <c r="L156" s="2">
        <v>4.2</v>
      </c>
      <c r="M156" s="2">
        <v>685830.24</v>
      </c>
      <c r="N156" s="2">
        <v>128736.18</v>
      </c>
    </row>
    <row r="157" ht="15.75" customHeight="1">
      <c r="A157" s="2" t="s">
        <v>60</v>
      </c>
      <c r="B157" s="3">
        <v>45748.0</v>
      </c>
      <c r="C157" s="2" t="s">
        <v>15</v>
      </c>
      <c r="D157" s="2" t="s">
        <v>18</v>
      </c>
      <c r="E157" s="2">
        <v>42698.14</v>
      </c>
      <c r="F157" s="2">
        <v>7693.0</v>
      </c>
      <c r="G157" s="2">
        <v>0.187</v>
      </c>
      <c r="H157" s="2">
        <v>19.0</v>
      </c>
      <c r="I157" s="2">
        <v>90.1</v>
      </c>
      <c r="J157" s="2">
        <v>0.44</v>
      </c>
      <c r="K157" s="2">
        <v>0.0</v>
      </c>
      <c r="L157" s="2">
        <v>4.4</v>
      </c>
      <c r="M157" s="2">
        <v>702318.94</v>
      </c>
      <c r="N157" s="2">
        <v>112829.29</v>
      </c>
    </row>
    <row r="158" ht="15.75" customHeight="1">
      <c r="A158" s="2" t="s">
        <v>61</v>
      </c>
      <c r="B158" s="3">
        <v>45658.0</v>
      </c>
      <c r="C158" s="2" t="s">
        <v>20</v>
      </c>
      <c r="D158" s="2" t="s">
        <v>28</v>
      </c>
      <c r="E158" s="2">
        <v>86883.31</v>
      </c>
      <c r="F158" s="2">
        <v>6424.0</v>
      </c>
      <c r="G158" s="2">
        <v>0.057</v>
      </c>
      <c r="H158" s="2">
        <v>19.0</v>
      </c>
      <c r="I158" s="2">
        <v>85.2</v>
      </c>
      <c r="J158" s="2">
        <v>3.08</v>
      </c>
      <c r="K158" s="2">
        <v>0.0</v>
      </c>
      <c r="L158" s="2">
        <v>3.9</v>
      </c>
      <c r="M158" s="2">
        <v>700078.32</v>
      </c>
      <c r="N158" s="2">
        <v>123707.58</v>
      </c>
    </row>
    <row r="159" ht="15.75" customHeight="1">
      <c r="A159" s="2" t="s">
        <v>61</v>
      </c>
      <c r="B159" s="3">
        <v>45689.0</v>
      </c>
      <c r="C159" s="2" t="s">
        <v>20</v>
      </c>
      <c r="D159" s="2" t="s">
        <v>28</v>
      </c>
      <c r="E159" s="2">
        <v>41863.08</v>
      </c>
      <c r="F159" s="2">
        <v>5400.0</v>
      </c>
      <c r="G159" s="2">
        <v>0.114</v>
      </c>
      <c r="H159" s="2">
        <v>11.0</v>
      </c>
      <c r="I159" s="2">
        <v>91.6</v>
      </c>
      <c r="J159" s="2">
        <v>7.99</v>
      </c>
      <c r="K159" s="2">
        <v>0.0</v>
      </c>
      <c r="L159" s="2">
        <v>3.0</v>
      </c>
      <c r="M159" s="2">
        <v>602002.32</v>
      </c>
      <c r="N159" s="2">
        <v>110453.28</v>
      </c>
    </row>
    <row r="160" ht="15.75" customHeight="1">
      <c r="A160" s="2" t="s">
        <v>61</v>
      </c>
      <c r="B160" s="3">
        <v>45717.0</v>
      </c>
      <c r="C160" s="2" t="s">
        <v>20</v>
      </c>
      <c r="D160" s="2" t="s">
        <v>28</v>
      </c>
      <c r="E160" s="2">
        <v>56918.16</v>
      </c>
      <c r="F160" s="2">
        <v>7015.0</v>
      </c>
      <c r="G160" s="2">
        <v>0.158</v>
      </c>
      <c r="H160" s="2">
        <v>18.0</v>
      </c>
      <c r="I160" s="2">
        <v>74.2</v>
      </c>
      <c r="J160" s="2">
        <v>0.2</v>
      </c>
      <c r="K160" s="2">
        <v>0.0</v>
      </c>
      <c r="L160" s="2">
        <v>3.4</v>
      </c>
      <c r="M160" s="2">
        <v>724216.07</v>
      </c>
      <c r="N160" s="2">
        <v>100627.56</v>
      </c>
    </row>
    <row r="161" ht="15.75" customHeight="1">
      <c r="A161" s="2" t="s">
        <v>61</v>
      </c>
      <c r="B161" s="3">
        <v>45748.0</v>
      </c>
      <c r="C161" s="2" t="s">
        <v>20</v>
      </c>
      <c r="D161" s="2" t="s">
        <v>28</v>
      </c>
      <c r="E161" s="2">
        <v>23254.57</v>
      </c>
      <c r="F161" s="2">
        <v>3847.0</v>
      </c>
      <c r="G161" s="2">
        <v>0.159</v>
      </c>
      <c r="H161" s="2">
        <v>12.0</v>
      </c>
      <c r="I161" s="2">
        <v>93.0</v>
      </c>
      <c r="J161" s="2">
        <v>5.46</v>
      </c>
      <c r="K161" s="2">
        <v>0.0</v>
      </c>
      <c r="L161" s="2">
        <v>3.3</v>
      </c>
      <c r="M161" s="2">
        <v>620973.03</v>
      </c>
      <c r="N161" s="2">
        <v>72303.85</v>
      </c>
    </row>
    <row r="162" ht="15.75" customHeight="1">
      <c r="A162" s="2" t="s">
        <v>62</v>
      </c>
      <c r="B162" s="3">
        <v>45658.0</v>
      </c>
      <c r="C162" s="2" t="s">
        <v>24</v>
      </c>
      <c r="D162" s="2" t="s">
        <v>18</v>
      </c>
      <c r="E162" s="2">
        <v>41443.41</v>
      </c>
      <c r="F162" s="2">
        <v>7455.0</v>
      </c>
      <c r="G162" s="2">
        <v>0.175</v>
      </c>
      <c r="H162" s="2">
        <v>16.0</v>
      </c>
      <c r="I162" s="2">
        <v>90.1</v>
      </c>
      <c r="J162" s="2">
        <v>4.05</v>
      </c>
      <c r="K162" s="2">
        <v>0.0</v>
      </c>
      <c r="L162" s="2">
        <v>4.0</v>
      </c>
      <c r="M162" s="2">
        <v>650480.06</v>
      </c>
      <c r="N162" s="2">
        <v>109012.07</v>
      </c>
    </row>
    <row r="163" ht="15.75" customHeight="1">
      <c r="A163" s="2" t="s">
        <v>62</v>
      </c>
      <c r="B163" s="3">
        <v>45689.0</v>
      </c>
      <c r="C163" s="2" t="s">
        <v>24</v>
      </c>
      <c r="D163" s="2" t="s">
        <v>18</v>
      </c>
      <c r="E163" s="2">
        <v>48438.85</v>
      </c>
      <c r="F163" s="2">
        <v>6992.0</v>
      </c>
      <c r="G163" s="2">
        <v>0.034</v>
      </c>
      <c r="H163" s="2">
        <v>20.0</v>
      </c>
      <c r="I163" s="2">
        <v>91.0</v>
      </c>
      <c r="J163" s="2">
        <v>4.36</v>
      </c>
      <c r="K163" s="2">
        <v>0.0</v>
      </c>
      <c r="L163" s="2">
        <v>4.2</v>
      </c>
      <c r="M163" s="2">
        <v>778298.88</v>
      </c>
      <c r="N163" s="2">
        <v>130076.72</v>
      </c>
    </row>
    <row r="164" ht="15.75" customHeight="1">
      <c r="A164" s="2" t="s">
        <v>62</v>
      </c>
      <c r="B164" s="3">
        <v>45717.0</v>
      </c>
      <c r="C164" s="2" t="s">
        <v>24</v>
      </c>
      <c r="D164" s="2" t="s">
        <v>18</v>
      </c>
      <c r="E164" s="2">
        <v>57143.3</v>
      </c>
      <c r="F164" s="2">
        <v>8038.0</v>
      </c>
      <c r="G164" s="2">
        <v>0.193</v>
      </c>
      <c r="H164" s="2">
        <v>17.0</v>
      </c>
      <c r="I164" s="2">
        <v>72.6</v>
      </c>
      <c r="J164" s="2"/>
      <c r="K164" s="2">
        <v>0.0</v>
      </c>
      <c r="L164" s="2">
        <v>4.2</v>
      </c>
      <c r="M164" s="2">
        <v>677096.71</v>
      </c>
      <c r="N164" s="2">
        <v>97174.11</v>
      </c>
    </row>
    <row r="165" ht="15.75" customHeight="1">
      <c r="A165" s="2" t="s">
        <v>62</v>
      </c>
      <c r="B165" s="3">
        <v>45748.0</v>
      </c>
      <c r="C165" s="2" t="s">
        <v>24</v>
      </c>
      <c r="D165" s="2" t="s">
        <v>18</v>
      </c>
      <c r="E165" s="2">
        <v>66870.62</v>
      </c>
      <c r="F165" s="2">
        <v>6055.0</v>
      </c>
      <c r="G165" s="2">
        <v>0.075</v>
      </c>
      <c r="H165" s="2">
        <v>19.0</v>
      </c>
      <c r="I165" s="2">
        <v>93.8</v>
      </c>
      <c r="J165" s="2">
        <v>0.54</v>
      </c>
      <c r="K165" s="2">
        <v>0.0</v>
      </c>
      <c r="L165" s="2">
        <v>4.3</v>
      </c>
      <c r="M165" s="2">
        <v>692008.64</v>
      </c>
      <c r="N165" s="2">
        <v>116337.87</v>
      </c>
    </row>
    <row r="166" ht="15.75" customHeight="1">
      <c r="A166" s="2" t="s">
        <v>63</v>
      </c>
      <c r="B166" s="3">
        <v>45658.0</v>
      </c>
      <c r="C166" s="2" t="s">
        <v>20</v>
      </c>
      <c r="D166" s="2" t="s">
        <v>28</v>
      </c>
      <c r="E166" s="2">
        <v>72150.53</v>
      </c>
      <c r="F166" s="2">
        <v>9323.0</v>
      </c>
      <c r="G166" s="2">
        <v>0.157</v>
      </c>
      <c r="H166" s="2">
        <v>22.0</v>
      </c>
      <c r="I166" s="2">
        <v>82.9</v>
      </c>
      <c r="J166" s="2">
        <v>11.37</v>
      </c>
      <c r="K166" s="2">
        <v>1.0</v>
      </c>
      <c r="L166" s="2">
        <v>4.3</v>
      </c>
      <c r="M166" s="2">
        <v>825797.91</v>
      </c>
      <c r="N166" s="2">
        <v>130945.24</v>
      </c>
    </row>
    <row r="167" ht="15.75" customHeight="1">
      <c r="A167" s="2" t="s">
        <v>63</v>
      </c>
      <c r="B167" s="3">
        <v>45689.0</v>
      </c>
      <c r="C167" s="2" t="s">
        <v>20</v>
      </c>
      <c r="D167" s="2" t="s">
        <v>28</v>
      </c>
      <c r="E167" s="2">
        <v>35303.3</v>
      </c>
      <c r="F167" s="2">
        <v>8789.0</v>
      </c>
      <c r="G167" s="2">
        <v>0.123</v>
      </c>
      <c r="H167" s="2">
        <v>22.0</v>
      </c>
      <c r="I167" s="2">
        <v>86.1</v>
      </c>
      <c r="J167" s="2">
        <v>9.43</v>
      </c>
      <c r="K167" s="2">
        <v>0.0</v>
      </c>
      <c r="L167" s="2">
        <v>4.2</v>
      </c>
      <c r="M167" s="2">
        <v>706285.52</v>
      </c>
      <c r="N167" s="2">
        <v>138014.72</v>
      </c>
    </row>
    <row r="168" ht="15.75" customHeight="1">
      <c r="A168" s="2" t="s">
        <v>63</v>
      </c>
      <c r="B168" s="3">
        <v>45717.0</v>
      </c>
      <c r="C168" s="2" t="s">
        <v>20</v>
      </c>
      <c r="D168" s="2" t="s">
        <v>28</v>
      </c>
      <c r="E168" s="2">
        <v>30301.86</v>
      </c>
      <c r="F168" s="2">
        <v>6939.0</v>
      </c>
      <c r="G168" s="2">
        <v>0.09</v>
      </c>
      <c r="H168" s="2">
        <v>16.0</v>
      </c>
      <c r="I168" s="2">
        <v>90.3</v>
      </c>
      <c r="J168" s="2">
        <v>3.49</v>
      </c>
      <c r="K168" s="2">
        <v>0.0</v>
      </c>
      <c r="L168" s="2">
        <v>4.0</v>
      </c>
      <c r="M168" s="2">
        <v>665534.7</v>
      </c>
      <c r="N168" s="2">
        <v>113167.73</v>
      </c>
    </row>
    <row r="169" ht="15.75" customHeight="1">
      <c r="A169" s="2" t="s">
        <v>63</v>
      </c>
      <c r="B169" s="3">
        <v>45748.0</v>
      </c>
      <c r="C169" s="2" t="s">
        <v>20</v>
      </c>
      <c r="D169" s="2" t="s">
        <v>28</v>
      </c>
      <c r="E169" s="2">
        <v>78432.14</v>
      </c>
      <c r="F169" s="2">
        <v>9440.0</v>
      </c>
      <c r="G169" s="2">
        <v>0.126</v>
      </c>
      <c r="H169" s="2">
        <v>23.0</v>
      </c>
      <c r="I169" s="2">
        <v>89.2</v>
      </c>
      <c r="J169" s="2">
        <v>7.86</v>
      </c>
      <c r="K169" s="2">
        <v>0.0</v>
      </c>
      <c r="L169" s="2">
        <v>4.1</v>
      </c>
      <c r="M169" s="2">
        <v>820729.29</v>
      </c>
      <c r="N169" s="2">
        <v>159325.47</v>
      </c>
    </row>
    <row r="170" ht="15.75" customHeight="1">
      <c r="A170" s="2" t="s">
        <v>64</v>
      </c>
      <c r="B170" s="3">
        <v>45658.0</v>
      </c>
      <c r="C170" s="2" t="s">
        <v>15</v>
      </c>
      <c r="D170" s="2" t="s">
        <v>16</v>
      </c>
      <c r="E170" s="2">
        <v>62059.18</v>
      </c>
      <c r="F170" s="2">
        <v>9374.0</v>
      </c>
      <c r="G170" s="2">
        <v>0.136</v>
      </c>
      <c r="H170" s="2">
        <v>25.0</v>
      </c>
      <c r="I170" s="2">
        <v>87.1</v>
      </c>
      <c r="J170" s="2">
        <v>12.55</v>
      </c>
      <c r="K170" s="2">
        <v>0.0</v>
      </c>
      <c r="L170" s="2">
        <v>4.9</v>
      </c>
      <c r="M170" s="2">
        <v>739831.73</v>
      </c>
      <c r="N170" s="2">
        <v>119490.21</v>
      </c>
    </row>
    <row r="171" ht="15.75" customHeight="1">
      <c r="A171" s="2" t="s">
        <v>64</v>
      </c>
      <c r="B171" s="3">
        <v>45689.0</v>
      </c>
      <c r="C171" s="2" t="s">
        <v>15</v>
      </c>
      <c r="D171" s="2" t="s">
        <v>16</v>
      </c>
      <c r="E171" s="2">
        <v>32834.48</v>
      </c>
      <c r="F171" s="2">
        <v>7576.0</v>
      </c>
      <c r="G171" s="2">
        <v>0.099</v>
      </c>
      <c r="H171" s="2">
        <v>15.0</v>
      </c>
      <c r="I171" s="2">
        <v>84.1</v>
      </c>
      <c r="J171" s="2">
        <v>3.48</v>
      </c>
      <c r="K171" s="2">
        <v>0.0</v>
      </c>
      <c r="L171" s="2">
        <v>5.0</v>
      </c>
      <c r="M171" s="2">
        <v>593637.14</v>
      </c>
      <c r="N171" s="2">
        <v>106648.14</v>
      </c>
    </row>
    <row r="172" ht="15.75" customHeight="1">
      <c r="A172" s="2" t="s">
        <v>64</v>
      </c>
      <c r="B172" s="3">
        <v>45717.0</v>
      </c>
      <c r="C172" s="2" t="s">
        <v>15</v>
      </c>
      <c r="D172" s="2" t="s">
        <v>16</v>
      </c>
      <c r="E172" s="2">
        <v>50825.08</v>
      </c>
      <c r="F172" s="2">
        <v>8949.0</v>
      </c>
      <c r="G172" s="2">
        <v>0.157</v>
      </c>
      <c r="H172" s="2">
        <v>21.0</v>
      </c>
      <c r="I172" s="2">
        <v>84.7</v>
      </c>
      <c r="J172" s="2">
        <v>7.73</v>
      </c>
      <c r="K172" s="2">
        <v>0.0</v>
      </c>
      <c r="L172" s="2">
        <v>4.9</v>
      </c>
      <c r="M172" s="2">
        <v>769702.76</v>
      </c>
      <c r="N172" s="2">
        <v>158697.0</v>
      </c>
    </row>
    <row r="173" ht="15.75" customHeight="1">
      <c r="A173" s="2" t="s">
        <v>64</v>
      </c>
      <c r="B173" s="3">
        <v>45748.0</v>
      </c>
      <c r="C173" s="2" t="s">
        <v>15</v>
      </c>
      <c r="D173" s="2" t="s">
        <v>16</v>
      </c>
      <c r="E173" s="2">
        <v>36606.51</v>
      </c>
      <c r="F173" s="2">
        <v>7671.0</v>
      </c>
      <c r="G173" s="2">
        <v>0.118</v>
      </c>
      <c r="H173" s="2">
        <v>18.0</v>
      </c>
      <c r="I173" s="2">
        <v>89.8</v>
      </c>
      <c r="J173" s="2">
        <v>0.25</v>
      </c>
      <c r="K173" s="2">
        <v>0.0</v>
      </c>
      <c r="L173" s="2">
        <v>4.4</v>
      </c>
      <c r="M173" s="2">
        <v>679731.57</v>
      </c>
      <c r="N173" s="2">
        <v>121546.42</v>
      </c>
    </row>
    <row r="174" ht="15.75" customHeight="1">
      <c r="A174" s="2" t="s">
        <v>65</v>
      </c>
      <c r="B174" s="3">
        <v>45658.0</v>
      </c>
      <c r="C174" s="2" t="s">
        <v>15</v>
      </c>
      <c r="D174" s="2" t="s">
        <v>16</v>
      </c>
      <c r="E174" s="2">
        <v>65237.79</v>
      </c>
      <c r="F174" s="2">
        <v>8741.0</v>
      </c>
      <c r="G174" s="2">
        <v>0.157</v>
      </c>
      <c r="H174" s="2">
        <v>20.0</v>
      </c>
      <c r="I174" s="2">
        <v>94.4</v>
      </c>
      <c r="J174" s="2">
        <v>6.43</v>
      </c>
      <c r="K174" s="2">
        <v>0.0</v>
      </c>
      <c r="L174" s="2">
        <v>3.3</v>
      </c>
      <c r="M174" s="2">
        <v>780344.18</v>
      </c>
      <c r="N174" s="2">
        <v>118239.09</v>
      </c>
    </row>
    <row r="175" ht="15.75" customHeight="1">
      <c r="A175" s="2" t="s">
        <v>65</v>
      </c>
      <c r="B175" s="3">
        <v>45689.0</v>
      </c>
      <c r="C175" s="2" t="s">
        <v>15</v>
      </c>
      <c r="D175" s="2" t="s">
        <v>16</v>
      </c>
      <c r="E175" s="2">
        <v>43645.98</v>
      </c>
      <c r="F175" s="2">
        <v>9480.0</v>
      </c>
      <c r="G175" s="2">
        <v>0.109</v>
      </c>
      <c r="H175" s="2">
        <v>22.0</v>
      </c>
      <c r="I175" s="2">
        <v>89.0</v>
      </c>
      <c r="J175" s="2">
        <v>2.11</v>
      </c>
      <c r="K175" s="2">
        <v>0.0</v>
      </c>
      <c r="L175" s="2">
        <v>3.1</v>
      </c>
      <c r="M175" s="2">
        <v>721364.11</v>
      </c>
      <c r="N175" s="2">
        <v>147272.81</v>
      </c>
    </row>
    <row r="176" ht="15.75" customHeight="1">
      <c r="A176" s="2" t="s">
        <v>65</v>
      </c>
      <c r="B176" s="3">
        <v>45717.0</v>
      </c>
      <c r="C176" s="2" t="s">
        <v>15</v>
      </c>
      <c r="D176" s="2" t="s">
        <v>16</v>
      </c>
      <c r="E176" s="2">
        <v>68040.15</v>
      </c>
      <c r="F176" s="2">
        <v>9826.0</v>
      </c>
      <c r="G176" s="2">
        <v>0.125</v>
      </c>
      <c r="H176" s="2">
        <v>20.0</v>
      </c>
      <c r="I176" s="2">
        <v>83.9</v>
      </c>
      <c r="J176" s="2">
        <v>9.12</v>
      </c>
      <c r="K176" s="2">
        <v>0.0</v>
      </c>
      <c r="L176" s="2">
        <v>3.6</v>
      </c>
      <c r="M176" s="2">
        <v>758138.29</v>
      </c>
      <c r="N176" s="2">
        <v>132975.26</v>
      </c>
    </row>
    <row r="177" ht="15.75" customHeight="1">
      <c r="A177" s="2" t="s">
        <v>65</v>
      </c>
      <c r="B177" s="3">
        <v>45748.0</v>
      </c>
      <c r="C177" s="2" t="s">
        <v>15</v>
      </c>
      <c r="D177" s="2" t="s">
        <v>16</v>
      </c>
      <c r="E177" s="2">
        <v>63043.94</v>
      </c>
      <c r="F177" s="2">
        <v>10402.0</v>
      </c>
      <c r="G177" s="2">
        <v>0.159</v>
      </c>
      <c r="H177" s="2">
        <v>23.0</v>
      </c>
      <c r="I177" s="2">
        <v>93.9</v>
      </c>
      <c r="J177" s="2">
        <v>2.71</v>
      </c>
      <c r="K177" s="2">
        <v>0.0</v>
      </c>
      <c r="L177" s="2">
        <v>3.1</v>
      </c>
      <c r="M177" s="2">
        <v>804264.0</v>
      </c>
      <c r="N177" s="2">
        <v>167117.91</v>
      </c>
    </row>
    <row r="178" ht="15.75" customHeight="1">
      <c r="A178" s="2" t="s">
        <v>66</v>
      </c>
      <c r="B178" s="3">
        <v>45658.0</v>
      </c>
      <c r="C178" s="2" t="s">
        <v>27</v>
      </c>
      <c r="D178" s="2" t="s">
        <v>21</v>
      </c>
      <c r="E178" s="2">
        <v>67494.09</v>
      </c>
      <c r="F178" s="2">
        <v>12361.0</v>
      </c>
      <c r="G178" s="2">
        <v>0.046</v>
      </c>
      <c r="H178" s="2">
        <v>24.0</v>
      </c>
      <c r="I178" s="2">
        <v>76.6</v>
      </c>
      <c r="J178" s="2">
        <v>3.65</v>
      </c>
      <c r="K178" s="2">
        <v>1.0</v>
      </c>
      <c r="L178" s="2">
        <v>3.7</v>
      </c>
      <c r="M178" s="2">
        <v>887537.75</v>
      </c>
      <c r="N178" s="2">
        <v>160362.92</v>
      </c>
    </row>
    <row r="179" ht="15.75" customHeight="1">
      <c r="A179" s="2" t="s">
        <v>66</v>
      </c>
      <c r="B179" s="3">
        <v>45689.0</v>
      </c>
      <c r="C179" s="2" t="s">
        <v>27</v>
      </c>
      <c r="D179" s="2" t="s">
        <v>21</v>
      </c>
      <c r="E179" s="2">
        <v>29389.32</v>
      </c>
      <c r="F179" s="2">
        <v>7925.0</v>
      </c>
      <c r="G179" s="2">
        <v>0.177</v>
      </c>
      <c r="H179" s="2">
        <v>21.0</v>
      </c>
      <c r="I179" s="2">
        <v>90.9</v>
      </c>
      <c r="J179" s="2">
        <v>7.86</v>
      </c>
      <c r="K179" s="2">
        <v>0.0</v>
      </c>
      <c r="L179" s="2">
        <v>4.0</v>
      </c>
      <c r="M179" s="2">
        <v>783582.0</v>
      </c>
      <c r="N179" s="2">
        <v>130670.93</v>
      </c>
    </row>
    <row r="180" ht="15.75" customHeight="1">
      <c r="A180" s="2" t="s">
        <v>66</v>
      </c>
      <c r="B180" s="3">
        <v>45717.0</v>
      </c>
      <c r="C180" s="2" t="s">
        <v>27</v>
      </c>
      <c r="D180" s="2" t="s">
        <v>21</v>
      </c>
      <c r="E180" s="2">
        <v>40535.09</v>
      </c>
      <c r="F180" s="2">
        <v>8870.0</v>
      </c>
      <c r="G180" s="2">
        <v>0.041</v>
      </c>
      <c r="H180" s="2">
        <v>21.0</v>
      </c>
      <c r="I180" s="2">
        <v>86.6</v>
      </c>
      <c r="J180" s="2">
        <v>0.3</v>
      </c>
      <c r="K180" s="2">
        <v>0.0</v>
      </c>
      <c r="L180" s="2">
        <v>4.1</v>
      </c>
      <c r="M180" s="2">
        <v>781955.52</v>
      </c>
      <c r="N180" s="2">
        <v>152578.71</v>
      </c>
    </row>
    <row r="181" ht="15.75" customHeight="1">
      <c r="A181" s="2" t="s">
        <v>66</v>
      </c>
      <c r="B181" s="3">
        <v>45748.0</v>
      </c>
      <c r="C181" s="2" t="s">
        <v>27</v>
      </c>
      <c r="D181" s="2" t="s">
        <v>21</v>
      </c>
      <c r="E181" s="2">
        <v>74881.56</v>
      </c>
      <c r="F181" s="2">
        <v>9999.0</v>
      </c>
      <c r="G181" s="2">
        <v>0.013</v>
      </c>
      <c r="H181" s="2">
        <v>20.0</v>
      </c>
      <c r="I181" s="2">
        <v>89.6</v>
      </c>
      <c r="J181" s="2">
        <v>8.44</v>
      </c>
      <c r="K181" s="2">
        <v>0.0</v>
      </c>
      <c r="L181" s="2">
        <v>4.1</v>
      </c>
      <c r="M181" s="2">
        <v>898031.04</v>
      </c>
      <c r="N181" s="2">
        <v>138666.5</v>
      </c>
    </row>
    <row r="182" ht="15.75" customHeight="1">
      <c r="A182" s="2" t="s">
        <v>67</v>
      </c>
      <c r="B182" s="3">
        <v>45658.0</v>
      </c>
      <c r="C182" s="2" t="s">
        <v>27</v>
      </c>
      <c r="D182" s="2" t="s">
        <v>16</v>
      </c>
      <c r="E182" s="2">
        <v>68491.11</v>
      </c>
      <c r="F182" s="2">
        <v>11154.0</v>
      </c>
      <c r="G182" s="2">
        <v>0.001</v>
      </c>
      <c r="H182" s="2">
        <v>24.0</v>
      </c>
      <c r="I182" s="2">
        <v>89.4</v>
      </c>
      <c r="J182" s="2">
        <v>5.27</v>
      </c>
      <c r="K182" s="2">
        <v>1.0</v>
      </c>
      <c r="L182" s="2">
        <v>3.9</v>
      </c>
      <c r="M182" s="2">
        <v>855341.28</v>
      </c>
      <c r="N182" s="2">
        <v>175823.8</v>
      </c>
    </row>
    <row r="183" ht="15.75" customHeight="1">
      <c r="A183" s="2" t="s">
        <v>67</v>
      </c>
      <c r="B183" s="3">
        <v>45689.0</v>
      </c>
      <c r="C183" s="2" t="s">
        <v>27</v>
      </c>
      <c r="D183" s="2" t="s">
        <v>16</v>
      </c>
      <c r="E183" s="2">
        <v>45209.25</v>
      </c>
      <c r="F183" s="2">
        <v>9287.0</v>
      </c>
      <c r="G183" s="2">
        <v>0.141</v>
      </c>
      <c r="H183" s="2">
        <v>22.0</v>
      </c>
      <c r="I183" s="2">
        <v>86.4</v>
      </c>
      <c r="J183" s="2">
        <v>13.22</v>
      </c>
      <c r="K183" s="2">
        <v>0.0</v>
      </c>
      <c r="L183" s="2">
        <v>3.6</v>
      </c>
      <c r="M183" s="2">
        <v>751393.88</v>
      </c>
      <c r="N183" s="2">
        <v>91480.32</v>
      </c>
    </row>
    <row r="184" ht="15.75" customHeight="1">
      <c r="A184" s="2" t="s">
        <v>67</v>
      </c>
      <c r="B184" s="3">
        <v>45717.0</v>
      </c>
      <c r="C184" s="2" t="s">
        <v>27</v>
      </c>
      <c r="D184" s="2" t="s">
        <v>16</v>
      </c>
      <c r="E184" s="2">
        <v>63010.23</v>
      </c>
      <c r="F184" s="2">
        <v>9812.0</v>
      </c>
      <c r="G184" s="2">
        <v>0.113</v>
      </c>
      <c r="H184" s="2">
        <v>24.0</v>
      </c>
      <c r="I184" s="2">
        <v>76.8</v>
      </c>
      <c r="J184" s="2">
        <v>1.02</v>
      </c>
      <c r="K184" s="2">
        <v>1.0</v>
      </c>
      <c r="L184" s="2">
        <v>3.8</v>
      </c>
      <c r="M184" s="2">
        <v>761077.08</v>
      </c>
      <c r="N184" s="2">
        <v>113605.93</v>
      </c>
    </row>
    <row r="185" ht="15.75" customHeight="1">
      <c r="A185" s="2" t="s">
        <v>67</v>
      </c>
      <c r="B185" s="3">
        <v>45748.0</v>
      </c>
      <c r="C185" s="2" t="s">
        <v>27</v>
      </c>
      <c r="D185" s="2" t="s">
        <v>16</v>
      </c>
      <c r="E185" s="2">
        <v>57948.88</v>
      </c>
      <c r="F185" s="2">
        <v>10741.0</v>
      </c>
      <c r="G185" s="2">
        <v>0.07</v>
      </c>
      <c r="H185" s="2">
        <v>25.0</v>
      </c>
      <c r="I185" s="2">
        <v>90.1</v>
      </c>
      <c r="J185" s="2">
        <v>4.03</v>
      </c>
      <c r="K185" s="2">
        <v>0.0</v>
      </c>
      <c r="L185" s="2">
        <v>3.1</v>
      </c>
      <c r="M185" s="2">
        <v>819660.59</v>
      </c>
      <c r="N185" s="2">
        <v>172699.95</v>
      </c>
    </row>
    <row r="186" ht="15.75" customHeight="1">
      <c r="A186" s="2" t="s">
        <v>68</v>
      </c>
      <c r="B186" s="3">
        <v>45658.0</v>
      </c>
      <c r="C186" s="2" t="s">
        <v>20</v>
      </c>
      <c r="D186" s="2" t="s">
        <v>18</v>
      </c>
      <c r="E186" s="2">
        <v>71941.62</v>
      </c>
      <c r="F186" s="2">
        <v>6084.0</v>
      </c>
      <c r="G186" s="2">
        <v>0.072</v>
      </c>
      <c r="H186" s="2">
        <v>13.0</v>
      </c>
      <c r="I186" s="2">
        <v>93.7</v>
      </c>
      <c r="J186" s="2">
        <v>2.34</v>
      </c>
      <c r="K186" s="2">
        <v>0.0</v>
      </c>
      <c r="L186" s="2">
        <v>4.4</v>
      </c>
      <c r="M186" s="2">
        <v>681855.56</v>
      </c>
      <c r="N186" s="2">
        <v>117645.61</v>
      </c>
    </row>
    <row r="187" ht="15.75" customHeight="1">
      <c r="A187" s="2" t="s">
        <v>68</v>
      </c>
      <c r="B187" s="3">
        <v>45689.0</v>
      </c>
      <c r="C187" s="2" t="s">
        <v>20</v>
      </c>
      <c r="D187" s="2" t="s">
        <v>18</v>
      </c>
      <c r="E187" s="2">
        <v>57147.88</v>
      </c>
      <c r="F187" s="2">
        <v>5252.0</v>
      </c>
      <c r="G187" s="2">
        <v>0.161</v>
      </c>
      <c r="H187" s="2">
        <v>15.0</v>
      </c>
      <c r="I187" s="2">
        <v>95.5</v>
      </c>
      <c r="J187" s="2">
        <v>8.51</v>
      </c>
      <c r="K187" s="2">
        <v>0.0</v>
      </c>
      <c r="L187" s="2">
        <v>4.4</v>
      </c>
      <c r="M187" s="2">
        <v>678311.17</v>
      </c>
      <c r="N187" s="2">
        <v>132029.76</v>
      </c>
    </row>
    <row r="188" ht="15.75" customHeight="1">
      <c r="A188" s="2" t="s">
        <v>68</v>
      </c>
      <c r="B188" s="3">
        <v>45717.0</v>
      </c>
      <c r="C188" s="2" t="s">
        <v>20</v>
      </c>
      <c r="D188" s="2" t="s">
        <v>18</v>
      </c>
      <c r="E188" s="2">
        <v>48031.74</v>
      </c>
      <c r="F188" s="2">
        <v>6516.0</v>
      </c>
      <c r="G188" s="2">
        <v>0.067</v>
      </c>
      <c r="H188" s="2">
        <v>14.0</v>
      </c>
      <c r="I188" s="2">
        <v>99.0</v>
      </c>
      <c r="J188" s="2">
        <v>0.48</v>
      </c>
      <c r="K188" s="2">
        <v>1.0</v>
      </c>
      <c r="L188" s="2">
        <v>4.3</v>
      </c>
      <c r="M188" s="2">
        <v>765906.95</v>
      </c>
      <c r="N188" s="2">
        <v>114005.9</v>
      </c>
    </row>
    <row r="189" ht="15.75" customHeight="1">
      <c r="A189" s="2" t="s">
        <v>68</v>
      </c>
      <c r="B189" s="3">
        <v>45748.0</v>
      </c>
      <c r="C189" s="2" t="s">
        <v>20</v>
      </c>
      <c r="D189" s="2" t="s">
        <v>18</v>
      </c>
      <c r="E189" s="2">
        <v>72784.8</v>
      </c>
      <c r="F189" s="2">
        <v>7932.0</v>
      </c>
      <c r="G189" s="2">
        <v>0.094</v>
      </c>
      <c r="H189" s="2">
        <v>20.0</v>
      </c>
      <c r="I189" s="2">
        <v>74.9</v>
      </c>
      <c r="J189" s="2">
        <v>13.62</v>
      </c>
      <c r="K189" s="2">
        <v>0.0</v>
      </c>
      <c r="L189" s="2">
        <v>4.2</v>
      </c>
      <c r="M189" s="2">
        <v>712546.38</v>
      </c>
      <c r="N189" s="2">
        <v>101480.04</v>
      </c>
    </row>
    <row r="190" ht="15.75" customHeight="1">
      <c r="A190" s="2" t="s">
        <v>69</v>
      </c>
      <c r="B190" s="3">
        <v>45658.0</v>
      </c>
      <c r="C190" s="2" t="s">
        <v>15</v>
      </c>
      <c r="D190" s="2" t="s">
        <v>18</v>
      </c>
      <c r="E190" s="2">
        <v>71641.9</v>
      </c>
      <c r="F190" s="2">
        <v>3506.0</v>
      </c>
      <c r="G190" s="2">
        <v>0.0</v>
      </c>
      <c r="H190" s="2">
        <v>11.0</v>
      </c>
      <c r="I190" s="2">
        <v>86.4</v>
      </c>
      <c r="J190" s="2">
        <v>7.77</v>
      </c>
      <c r="K190" s="2">
        <v>0.0</v>
      </c>
      <c r="L190" s="2">
        <v>4.1</v>
      </c>
      <c r="M190" s="2">
        <v>625993.83</v>
      </c>
      <c r="N190" s="2">
        <v>98960.32</v>
      </c>
    </row>
    <row r="191" ht="15.75" customHeight="1">
      <c r="A191" s="2" t="s">
        <v>69</v>
      </c>
      <c r="B191" s="3">
        <v>45689.0</v>
      </c>
      <c r="C191" s="2" t="s">
        <v>15</v>
      </c>
      <c r="D191" s="2" t="s">
        <v>18</v>
      </c>
      <c r="E191" s="2">
        <v>55788.61</v>
      </c>
      <c r="F191" s="2">
        <v>2312.0</v>
      </c>
      <c r="G191" s="2">
        <v>0.058</v>
      </c>
      <c r="H191" s="2">
        <v>10.0</v>
      </c>
      <c r="I191" s="2">
        <v>91.3</v>
      </c>
      <c r="J191" s="2">
        <v>1.99</v>
      </c>
      <c r="K191" s="2">
        <v>0.0</v>
      </c>
      <c r="L191" s="2">
        <v>3.8</v>
      </c>
      <c r="M191" s="2">
        <v>550962.93</v>
      </c>
      <c r="N191" s="2">
        <v>97144.58</v>
      </c>
    </row>
    <row r="192" ht="15.75" customHeight="1">
      <c r="A192" s="2" t="s">
        <v>69</v>
      </c>
      <c r="B192" s="3">
        <v>45717.0</v>
      </c>
      <c r="C192" s="2" t="s">
        <v>15</v>
      </c>
      <c r="D192" s="2" t="s">
        <v>18</v>
      </c>
      <c r="E192" s="2">
        <v>37705.88</v>
      </c>
      <c r="F192" s="2">
        <v>1268.0</v>
      </c>
      <c r="G192" s="2">
        <v>0.259</v>
      </c>
      <c r="H192" s="2">
        <v>9.0</v>
      </c>
      <c r="I192" s="2">
        <v>84.1</v>
      </c>
      <c r="J192" s="2">
        <v>4.77</v>
      </c>
      <c r="K192" s="2">
        <v>0.0</v>
      </c>
      <c r="L192" s="2">
        <v>3.8</v>
      </c>
      <c r="M192" s="2">
        <v>443275.59</v>
      </c>
      <c r="N192" s="2">
        <v>53544.36</v>
      </c>
    </row>
    <row r="193" ht="15.75" customHeight="1">
      <c r="A193" s="2" t="s">
        <v>69</v>
      </c>
      <c r="B193" s="3">
        <v>45748.0</v>
      </c>
      <c r="C193" s="2" t="s">
        <v>15</v>
      </c>
      <c r="D193" s="2" t="s">
        <v>18</v>
      </c>
      <c r="E193" s="2">
        <v>54966.18</v>
      </c>
      <c r="F193" s="2">
        <v>4423.0</v>
      </c>
      <c r="G193" s="2">
        <v>0.186</v>
      </c>
      <c r="H193" s="2">
        <v>13.0</v>
      </c>
      <c r="I193" s="2">
        <v>88.7</v>
      </c>
      <c r="J193" s="2">
        <v>0.2</v>
      </c>
      <c r="K193" s="2">
        <v>0.0</v>
      </c>
      <c r="L193" s="2">
        <v>4.4</v>
      </c>
      <c r="M193" s="2">
        <v>554012.07</v>
      </c>
      <c r="N193" s="2">
        <v>81101.62</v>
      </c>
    </row>
    <row r="194" ht="15.75" customHeight="1">
      <c r="A194" s="2" t="s">
        <v>70</v>
      </c>
      <c r="B194" s="3">
        <v>45658.0</v>
      </c>
      <c r="C194" s="2" t="s">
        <v>27</v>
      </c>
      <c r="D194" s="2" t="s">
        <v>16</v>
      </c>
      <c r="E194" s="2">
        <v>81796.74</v>
      </c>
      <c r="F194" s="2">
        <v>6177.0</v>
      </c>
      <c r="G194" s="2">
        <v>0.164</v>
      </c>
      <c r="H194" s="2">
        <v>14.0</v>
      </c>
      <c r="I194" s="2">
        <v>87.9</v>
      </c>
      <c r="J194" s="2">
        <v>0.53</v>
      </c>
      <c r="K194" s="2">
        <v>0.0</v>
      </c>
      <c r="L194" s="2">
        <v>3.2</v>
      </c>
      <c r="M194" s="2">
        <v>643428.85</v>
      </c>
      <c r="N194" s="2">
        <v>94477.63</v>
      </c>
    </row>
    <row r="195" ht="15.75" customHeight="1">
      <c r="A195" s="2" t="s">
        <v>70</v>
      </c>
      <c r="B195" s="3">
        <v>45689.0</v>
      </c>
      <c r="C195" s="2" t="s">
        <v>27</v>
      </c>
      <c r="D195" s="2" t="s">
        <v>16</v>
      </c>
      <c r="E195" s="2">
        <v>51133.43</v>
      </c>
      <c r="F195" s="2">
        <v>5150.0</v>
      </c>
      <c r="G195" s="2">
        <v>0.15</v>
      </c>
      <c r="H195" s="2">
        <v>12.0</v>
      </c>
      <c r="I195" s="2">
        <v>88.5</v>
      </c>
      <c r="J195" s="2">
        <v>1.54</v>
      </c>
      <c r="K195" s="2">
        <v>0.0</v>
      </c>
      <c r="L195" s="2">
        <v>3.2</v>
      </c>
      <c r="M195" s="2">
        <v>611924.27</v>
      </c>
      <c r="N195" s="2">
        <v>115488.75</v>
      </c>
    </row>
    <row r="196" ht="15.75" customHeight="1">
      <c r="A196" s="2" t="s">
        <v>70</v>
      </c>
      <c r="B196" s="3">
        <v>45717.0</v>
      </c>
      <c r="C196" s="2" t="s">
        <v>27</v>
      </c>
      <c r="D196" s="2" t="s">
        <v>16</v>
      </c>
      <c r="E196" s="2">
        <v>40220.18</v>
      </c>
      <c r="F196" s="2">
        <v>3783.0</v>
      </c>
      <c r="G196" s="2">
        <v>0.089</v>
      </c>
      <c r="H196" s="2">
        <v>14.0</v>
      </c>
      <c r="I196" s="2">
        <v>86.6</v>
      </c>
      <c r="J196" s="2">
        <v>3.63</v>
      </c>
      <c r="K196" s="2">
        <v>0.0</v>
      </c>
      <c r="L196" s="2">
        <v>3.7</v>
      </c>
      <c r="M196" s="2">
        <v>559422.02</v>
      </c>
      <c r="N196" s="2">
        <v>73528.74</v>
      </c>
    </row>
    <row r="197" ht="15.75" customHeight="1">
      <c r="A197" s="2" t="s">
        <v>70</v>
      </c>
      <c r="B197" s="3">
        <v>45748.0</v>
      </c>
      <c r="C197" s="2" t="s">
        <v>27</v>
      </c>
      <c r="D197" s="2" t="s">
        <v>16</v>
      </c>
      <c r="E197" s="2">
        <v>41657.64</v>
      </c>
      <c r="F197" s="2">
        <v>3135.0</v>
      </c>
      <c r="G197" s="2">
        <v>0.229</v>
      </c>
      <c r="H197" s="2">
        <v>7.0</v>
      </c>
      <c r="I197" s="2">
        <v>85.4</v>
      </c>
      <c r="J197" s="2">
        <v>13.48</v>
      </c>
      <c r="K197" s="2">
        <v>0.0</v>
      </c>
      <c r="L197" s="2"/>
      <c r="M197" s="2">
        <v>449465.06</v>
      </c>
      <c r="N197" s="2">
        <v>65694.78</v>
      </c>
    </row>
    <row r="198" ht="15.75" customHeight="1">
      <c r="A198" s="2" t="s">
        <v>71</v>
      </c>
      <c r="B198" s="3">
        <v>45658.0</v>
      </c>
      <c r="C198" s="2" t="s">
        <v>20</v>
      </c>
      <c r="D198" s="2" t="s">
        <v>16</v>
      </c>
      <c r="E198" s="2">
        <v>71851.45</v>
      </c>
      <c r="F198" s="2">
        <v>4970.0</v>
      </c>
      <c r="G198" s="2">
        <v>0.098</v>
      </c>
      <c r="H198" s="2">
        <v>11.0</v>
      </c>
      <c r="I198" s="2">
        <v>89.6</v>
      </c>
      <c r="J198" s="2">
        <v>0.2</v>
      </c>
      <c r="K198" s="2">
        <v>0.0</v>
      </c>
      <c r="L198" s="2">
        <v>4.2</v>
      </c>
      <c r="M198" s="2">
        <v>691447.43</v>
      </c>
      <c r="N198" s="2">
        <v>114077.69</v>
      </c>
    </row>
    <row r="199" ht="15.75" customHeight="1">
      <c r="A199" s="2" t="s">
        <v>71</v>
      </c>
      <c r="B199" s="3">
        <v>45689.0</v>
      </c>
      <c r="C199" s="2" t="s">
        <v>20</v>
      </c>
      <c r="D199" s="2" t="s">
        <v>16</v>
      </c>
      <c r="E199" s="2">
        <v>54002.83</v>
      </c>
      <c r="F199" s="2">
        <v>4366.0</v>
      </c>
      <c r="G199" s="2">
        <v>0.027</v>
      </c>
      <c r="H199" s="2">
        <v>15.0</v>
      </c>
      <c r="I199" s="2">
        <v>90.6</v>
      </c>
      <c r="J199" s="2">
        <v>12.82</v>
      </c>
      <c r="K199" s="2">
        <v>0.0</v>
      </c>
      <c r="L199" s="2">
        <v>4.6</v>
      </c>
      <c r="M199" s="2">
        <v>574066.61</v>
      </c>
      <c r="N199" s="2">
        <v>124674.67</v>
      </c>
    </row>
    <row r="200" ht="15.75" customHeight="1">
      <c r="A200" s="2" t="s">
        <v>71</v>
      </c>
      <c r="B200" s="3">
        <v>45717.0</v>
      </c>
      <c r="C200" s="2" t="s">
        <v>20</v>
      </c>
      <c r="D200" s="2" t="s">
        <v>16</v>
      </c>
      <c r="E200" s="2">
        <v>54479.33</v>
      </c>
      <c r="F200" s="2">
        <v>5012.0</v>
      </c>
      <c r="G200" s="2">
        <v>0.284</v>
      </c>
      <c r="H200" s="2">
        <v>13.0</v>
      </c>
      <c r="I200" s="2">
        <v>86.0</v>
      </c>
      <c r="J200" s="2">
        <v>2.24</v>
      </c>
      <c r="K200" s="2">
        <v>1.0</v>
      </c>
      <c r="L200" s="2">
        <v>4.3</v>
      </c>
      <c r="M200" s="2">
        <v>578949.84</v>
      </c>
      <c r="N200" s="2">
        <v>80253.65</v>
      </c>
    </row>
    <row r="201" ht="15.75" customHeight="1">
      <c r="A201" s="2" t="s">
        <v>71</v>
      </c>
      <c r="B201" s="3">
        <v>45748.0</v>
      </c>
      <c r="C201" s="2" t="s">
        <v>20</v>
      </c>
      <c r="D201" s="2" t="s">
        <v>16</v>
      </c>
      <c r="E201" s="2">
        <v>61391.8</v>
      </c>
      <c r="F201" s="2">
        <v>5575.0</v>
      </c>
      <c r="G201" s="2">
        <v>0.189</v>
      </c>
      <c r="H201" s="2">
        <v>18.0</v>
      </c>
      <c r="I201" s="2">
        <v>90.0</v>
      </c>
      <c r="J201" s="2">
        <v>1.8</v>
      </c>
      <c r="K201" s="2">
        <v>0.0</v>
      </c>
      <c r="L201" s="2">
        <v>4.8</v>
      </c>
      <c r="M201" s="2">
        <v>735786.64</v>
      </c>
      <c r="N201" s="2">
        <v>126540.66</v>
      </c>
    </row>
    <row r="202" ht="15.75" customHeight="1">
      <c r="A202" s="2" t="s">
        <v>72</v>
      </c>
      <c r="B202" s="3">
        <v>45658.0</v>
      </c>
      <c r="C202" s="2" t="s">
        <v>15</v>
      </c>
      <c r="D202" s="2" t="s">
        <v>21</v>
      </c>
      <c r="E202" s="2">
        <v>22312.93</v>
      </c>
      <c r="F202" s="2">
        <v>5955.0</v>
      </c>
      <c r="G202" s="2">
        <v>0.123</v>
      </c>
      <c r="H202" s="2">
        <v>13.0</v>
      </c>
      <c r="I202" s="2">
        <v>84.2</v>
      </c>
      <c r="J202" s="2">
        <v>0.41</v>
      </c>
      <c r="K202" s="2">
        <v>1.0</v>
      </c>
      <c r="L202" s="2">
        <v>4.6</v>
      </c>
      <c r="M202" s="2">
        <v>598904.9</v>
      </c>
      <c r="N202" s="2">
        <v>72861.0</v>
      </c>
    </row>
    <row r="203" ht="15.75" customHeight="1">
      <c r="A203" s="2" t="s">
        <v>72</v>
      </c>
      <c r="B203" s="3">
        <v>45689.0</v>
      </c>
      <c r="C203" s="2" t="s">
        <v>15</v>
      </c>
      <c r="D203" s="2" t="s">
        <v>21</v>
      </c>
      <c r="E203" s="2">
        <v>78111.97</v>
      </c>
      <c r="F203" s="2">
        <v>6389.0</v>
      </c>
      <c r="G203" s="2">
        <v>0.15</v>
      </c>
      <c r="H203" s="2">
        <v>13.0</v>
      </c>
      <c r="I203" s="2">
        <v>83.9</v>
      </c>
      <c r="J203" s="2">
        <v>3.05</v>
      </c>
      <c r="K203" s="2">
        <v>0.0</v>
      </c>
      <c r="L203" s="2">
        <v>4.8</v>
      </c>
      <c r="M203" s="2">
        <v>787715.51</v>
      </c>
      <c r="N203" s="2">
        <v>128969.62</v>
      </c>
    </row>
    <row r="204" ht="15.75" customHeight="1">
      <c r="A204" s="2" t="s">
        <v>72</v>
      </c>
      <c r="B204" s="3">
        <v>45717.0</v>
      </c>
      <c r="C204" s="2" t="s">
        <v>15</v>
      </c>
      <c r="D204" s="2" t="s">
        <v>21</v>
      </c>
      <c r="E204" s="2">
        <v>35203.23</v>
      </c>
      <c r="F204" s="2">
        <v>6896.0</v>
      </c>
      <c r="G204" s="2">
        <v>0.032</v>
      </c>
      <c r="H204" s="2">
        <v>14.0</v>
      </c>
      <c r="I204" s="2">
        <v>80.8</v>
      </c>
      <c r="J204" s="2">
        <v>8.44</v>
      </c>
      <c r="K204" s="2">
        <v>1.0</v>
      </c>
      <c r="L204" s="2">
        <v>5.0</v>
      </c>
      <c r="M204" s="2">
        <v>607084.92</v>
      </c>
      <c r="N204" s="2">
        <v>98558.49</v>
      </c>
    </row>
    <row r="205" ht="15.75" customHeight="1">
      <c r="A205" s="2" t="s">
        <v>72</v>
      </c>
      <c r="B205" s="3">
        <v>45748.0</v>
      </c>
      <c r="C205" s="2" t="s">
        <v>15</v>
      </c>
      <c r="D205" s="2" t="s">
        <v>21</v>
      </c>
      <c r="E205" s="2">
        <v>64104.28</v>
      </c>
      <c r="F205" s="2">
        <v>6015.0</v>
      </c>
      <c r="G205" s="2">
        <v>0.127</v>
      </c>
      <c r="H205" s="2">
        <v>15.0</v>
      </c>
      <c r="I205" s="2">
        <v>88.7</v>
      </c>
      <c r="J205" s="2">
        <v>0.78</v>
      </c>
      <c r="K205" s="2">
        <v>0.0</v>
      </c>
      <c r="L205" s="2">
        <v>4.0</v>
      </c>
      <c r="M205" s="2">
        <v>650795.49</v>
      </c>
      <c r="N205" s="2">
        <v>103035.89</v>
      </c>
    </row>
    <row r="206" ht="15.75" customHeight="1">
      <c r="A206" s="2" t="s">
        <v>73</v>
      </c>
      <c r="B206" s="3">
        <v>45658.0</v>
      </c>
      <c r="C206" s="2" t="s">
        <v>15</v>
      </c>
      <c r="D206" s="2" t="s">
        <v>28</v>
      </c>
      <c r="E206" s="2">
        <v>92090.14</v>
      </c>
      <c r="F206" s="2">
        <v>9476.0</v>
      </c>
      <c r="G206" s="2">
        <v>0.07</v>
      </c>
      <c r="H206" s="2">
        <v>24.0</v>
      </c>
      <c r="I206" s="2">
        <v>94.3</v>
      </c>
      <c r="J206" s="2">
        <v>0.87</v>
      </c>
      <c r="K206" s="2">
        <v>0.0</v>
      </c>
      <c r="L206" s="2">
        <v>3.7</v>
      </c>
      <c r="M206" s="2">
        <v>825060.52</v>
      </c>
      <c r="N206" s="2">
        <v>143613.15</v>
      </c>
    </row>
    <row r="207" ht="15.75" customHeight="1">
      <c r="A207" s="2" t="s">
        <v>73</v>
      </c>
      <c r="B207" s="3">
        <v>45689.0</v>
      </c>
      <c r="C207" s="2" t="s">
        <v>15</v>
      </c>
      <c r="D207" s="2" t="s">
        <v>28</v>
      </c>
      <c r="E207" s="2">
        <v>54300.87</v>
      </c>
      <c r="F207" s="2">
        <v>7875.0</v>
      </c>
      <c r="G207" s="2">
        <v>0.107</v>
      </c>
      <c r="H207" s="2">
        <v>19.0</v>
      </c>
      <c r="I207" s="2">
        <v>94.1</v>
      </c>
      <c r="J207" s="2">
        <v>0.95</v>
      </c>
      <c r="K207" s="2">
        <v>0.0</v>
      </c>
      <c r="L207" s="2">
        <v>3.7</v>
      </c>
      <c r="M207" s="2">
        <v>795464.47</v>
      </c>
      <c r="N207" s="2">
        <v>161150.52</v>
      </c>
    </row>
    <row r="208" ht="15.75" customHeight="1">
      <c r="A208" s="2" t="s">
        <v>73</v>
      </c>
      <c r="B208" s="3">
        <v>45717.0</v>
      </c>
      <c r="C208" s="2" t="s">
        <v>15</v>
      </c>
      <c r="D208" s="2" t="s">
        <v>28</v>
      </c>
      <c r="E208" s="2">
        <v>37983.35</v>
      </c>
      <c r="F208" s="2">
        <v>9283.0</v>
      </c>
      <c r="G208" s="2">
        <v>0.149</v>
      </c>
      <c r="H208" s="2">
        <v>19.0</v>
      </c>
      <c r="I208" s="2">
        <v>83.2</v>
      </c>
      <c r="J208" s="2">
        <v>3.82</v>
      </c>
      <c r="K208" s="2">
        <v>0.0</v>
      </c>
      <c r="L208" s="2">
        <v>3.7</v>
      </c>
      <c r="M208" s="2">
        <v>671868.59</v>
      </c>
      <c r="N208" s="2">
        <v>71003.28</v>
      </c>
    </row>
    <row r="209" ht="15.75" customHeight="1">
      <c r="A209" s="2" t="s">
        <v>73</v>
      </c>
      <c r="B209" s="3">
        <v>45748.0</v>
      </c>
      <c r="C209" s="2" t="s">
        <v>15</v>
      </c>
      <c r="D209" s="2" t="s">
        <v>28</v>
      </c>
      <c r="E209" s="2">
        <v>56413.83</v>
      </c>
      <c r="F209" s="2">
        <v>8303.0</v>
      </c>
      <c r="G209" s="2">
        <v>0.116</v>
      </c>
      <c r="H209" s="2">
        <v>18.0</v>
      </c>
      <c r="I209" s="2">
        <v>93.6</v>
      </c>
      <c r="J209" s="2">
        <v>2.7</v>
      </c>
      <c r="K209" s="2">
        <v>0.0</v>
      </c>
      <c r="L209" s="2">
        <v>3.7</v>
      </c>
      <c r="M209" s="2">
        <v>675917.63</v>
      </c>
      <c r="N209" s="2">
        <v>112564.75</v>
      </c>
    </row>
    <row r="210" ht="15.75" customHeight="1">
      <c r="A210" s="2" t="s">
        <v>74</v>
      </c>
      <c r="B210" s="3">
        <v>45658.0</v>
      </c>
      <c r="C210" s="2" t="s">
        <v>15</v>
      </c>
      <c r="D210" s="2" t="s">
        <v>18</v>
      </c>
      <c r="E210" s="2">
        <v>63457.19</v>
      </c>
      <c r="F210" s="2">
        <v>10125.0</v>
      </c>
      <c r="G210" s="2">
        <v>0.097</v>
      </c>
      <c r="H210" s="2">
        <v>24.0</v>
      </c>
      <c r="I210" s="2">
        <v>87.0</v>
      </c>
      <c r="J210" s="2">
        <v>3.84</v>
      </c>
      <c r="K210" s="2">
        <v>1.0</v>
      </c>
      <c r="L210" s="2">
        <v>3.7</v>
      </c>
      <c r="M210" s="2">
        <v>810446.53</v>
      </c>
      <c r="N210" s="2">
        <v>200575.34</v>
      </c>
    </row>
    <row r="211" ht="15.75" customHeight="1">
      <c r="A211" s="2" t="s">
        <v>74</v>
      </c>
      <c r="B211" s="3">
        <v>45689.0</v>
      </c>
      <c r="C211" s="2" t="s">
        <v>15</v>
      </c>
      <c r="D211" s="2" t="s">
        <v>18</v>
      </c>
      <c r="E211" s="2">
        <v>62949.7</v>
      </c>
      <c r="F211" s="2">
        <v>9458.0</v>
      </c>
      <c r="G211" s="2">
        <v>0.171</v>
      </c>
      <c r="H211" s="2">
        <v>19.0</v>
      </c>
      <c r="I211" s="2">
        <v>84.9</v>
      </c>
      <c r="J211" s="2">
        <v>5.09</v>
      </c>
      <c r="K211" s="2">
        <v>0.0</v>
      </c>
      <c r="L211" s="2">
        <v>3.3</v>
      </c>
      <c r="M211" s="2">
        <v>691288.19</v>
      </c>
      <c r="N211" s="2">
        <v>159074.14</v>
      </c>
    </row>
    <row r="212" ht="15.75" customHeight="1">
      <c r="A212" s="2" t="s">
        <v>74</v>
      </c>
      <c r="B212" s="3">
        <v>45717.0</v>
      </c>
      <c r="C212" s="2" t="s">
        <v>15</v>
      </c>
      <c r="D212" s="2" t="s">
        <v>18</v>
      </c>
      <c r="E212" s="2">
        <v>107970.19</v>
      </c>
      <c r="F212" s="2">
        <v>12870.0</v>
      </c>
      <c r="G212" s="2">
        <v>0.029</v>
      </c>
      <c r="H212" s="2">
        <v>31.0</v>
      </c>
      <c r="I212" s="2">
        <v>91.7</v>
      </c>
      <c r="J212" s="2">
        <v>3.82</v>
      </c>
      <c r="K212" s="2">
        <v>1.0</v>
      </c>
      <c r="L212" s="2">
        <v>3.7</v>
      </c>
      <c r="M212" s="2">
        <v>946833.54</v>
      </c>
      <c r="N212" s="2">
        <v>184540.31</v>
      </c>
    </row>
    <row r="213" ht="15.75" customHeight="1">
      <c r="A213" s="2" t="s">
        <v>74</v>
      </c>
      <c r="B213" s="3">
        <v>45748.0</v>
      </c>
      <c r="C213" s="2" t="s">
        <v>15</v>
      </c>
      <c r="D213" s="2" t="s">
        <v>18</v>
      </c>
      <c r="E213" s="2">
        <v>49405.75</v>
      </c>
      <c r="F213" s="2">
        <v>9752.0</v>
      </c>
      <c r="G213" s="2">
        <v>0.093</v>
      </c>
      <c r="H213" s="2">
        <v>21.0</v>
      </c>
      <c r="I213" s="2">
        <v>87.0</v>
      </c>
      <c r="J213" s="2">
        <v>12.28</v>
      </c>
      <c r="K213" s="2">
        <v>0.0</v>
      </c>
      <c r="L213" s="2">
        <v>4.1</v>
      </c>
      <c r="M213" s="2">
        <v>761963.23</v>
      </c>
      <c r="N213" s="2">
        <v>150113.61</v>
      </c>
    </row>
    <row r="214" ht="15.75" customHeight="1">
      <c r="A214" s="2" t="s">
        <v>75</v>
      </c>
      <c r="B214" s="3">
        <v>45658.0</v>
      </c>
      <c r="C214" s="2" t="s">
        <v>27</v>
      </c>
      <c r="D214" s="2" t="s">
        <v>16</v>
      </c>
      <c r="E214" s="2">
        <v>50887.46</v>
      </c>
      <c r="F214" s="2">
        <v>9505.0</v>
      </c>
      <c r="G214" s="2">
        <v>0.091</v>
      </c>
      <c r="H214" s="2">
        <v>25.0</v>
      </c>
      <c r="I214" s="2">
        <v>89.7</v>
      </c>
      <c r="J214" s="2">
        <v>2.8</v>
      </c>
      <c r="K214" s="2">
        <v>0.0</v>
      </c>
      <c r="L214" s="2">
        <v>4.3</v>
      </c>
      <c r="M214" s="2">
        <v>812152.6</v>
      </c>
      <c r="N214" s="2">
        <v>138419.43</v>
      </c>
    </row>
    <row r="215" ht="15.75" customHeight="1">
      <c r="A215" s="2" t="s">
        <v>75</v>
      </c>
      <c r="B215" s="3">
        <v>45689.0</v>
      </c>
      <c r="C215" s="2" t="s">
        <v>27</v>
      </c>
      <c r="D215" s="2" t="s">
        <v>16</v>
      </c>
      <c r="E215" s="2">
        <v>41819.45</v>
      </c>
      <c r="F215" s="2">
        <v>9412.0</v>
      </c>
      <c r="G215" s="2">
        <v>0.15</v>
      </c>
      <c r="H215" s="2">
        <v>22.0</v>
      </c>
      <c r="I215" s="2">
        <v>91.0</v>
      </c>
      <c r="J215" s="2">
        <v>3.67</v>
      </c>
      <c r="K215" s="2">
        <v>0.0</v>
      </c>
      <c r="L215" s="2">
        <v>4.2</v>
      </c>
      <c r="M215" s="2">
        <v>804975.5</v>
      </c>
      <c r="N215" s="2">
        <v>140054.5</v>
      </c>
    </row>
    <row r="216" ht="15.75" customHeight="1">
      <c r="A216" s="2" t="s">
        <v>75</v>
      </c>
      <c r="B216" s="3">
        <v>45717.0</v>
      </c>
      <c r="C216" s="2" t="s">
        <v>27</v>
      </c>
      <c r="D216" s="2" t="s">
        <v>16</v>
      </c>
      <c r="E216" s="2">
        <v>35296.54</v>
      </c>
      <c r="F216" s="2">
        <v>9644.0</v>
      </c>
      <c r="G216" s="2">
        <v>0.0</v>
      </c>
      <c r="H216" s="2">
        <v>22.0</v>
      </c>
      <c r="I216" s="2">
        <v>88.0</v>
      </c>
      <c r="J216" s="2">
        <v>2.81</v>
      </c>
      <c r="K216" s="2">
        <v>0.0</v>
      </c>
      <c r="L216" s="2">
        <v>4.7</v>
      </c>
      <c r="M216" s="2">
        <v>752321.72</v>
      </c>
      <c r="N216" s="2">
        <v>137788.51</v>
      </c>
    </row>
    <row r="217" ht="15.75" customHeight="1">
      <c r="A217" s="2" t="s">
        <v>75</v>
      </c>
      <c r="B217" s="3">
        <v>45748.0</v>
      </c>
      <c r="C217" s="2" t="s">
        <v>27</v>
      </c>
      <c r="D217" s="2" t="s">
        <v>16</v>
      </c>
      <c r="E217" s="2">
        <v>47391.09</v>
      </c>
      <c r="F217" s="2">
        <v>11224.0</v>
      </c>
      <c r="G217" s="2">
        <v>0.147</v>
      </c>
      <c r="H217" s="2">
        <v>25.0</v>
      </c>
      <c r="I217" s="2">
        <v>88.4</v>
      </c>
      <c r="J217" s="2">
        <v>2.44</v>
      </c>
      <c r="K217" s="2">
        <v>0.0</v>
      </c>
      <c r="L217" s="2">
        <v>4.9</v>
      </c>
      <c r="M217" s="2">
        <v>836908.24</v>
      </c>
      <c r="N217" s="2">
        <v>141090.26</v>
      </c>
    </row>
    <row r="218" ht="15.75" customHeight="1">
      <c r="A218" s="2" t="s">
        <v>76</v>
      </c>
      <c r="B218" s="3">
        <v>45658.0</v>
      </c>
      <c r="C218" s="2" t="s">
        <v>20</v>
      </c>
      <c r="D218" s="2" t="s">
        <v>21</v>
      </c>
      <c r="E218" s="2">
        <v>69180.54</v>
      </c>
      <c r="F218" s="2">
        <v>5394.0</v>
      </c>
      <c r="G218" s="2">
        <v>0.126</v>
      </c>
      <c r="H218" s="2">
        <v>12.0</v>
      </c>
      <c r="I218" s="2">
        <v>82.9</v>
      </c>
      <c r="J218" s="2">
        <v>3.27</v>
      </c>
      <c r="K218" s="2">
        <v>0.0</v>
      </c>
      <c r="L218" s="2">
        <v>3.3</v>
      </c>
      <c r="M218" s="2">
        <v>674289.1</v>
      </c>
      <c r="N218" s="2">
        <v>117773.79</v>
      </c>
    </row>
    <row r="219" ht="15.75" customHeight="1">
      <c r="A219" s="2" t="s">
        <v>76</v>
      </c>
      <c r="B219" s="3">
        <v>45689.0</v>
      </c>
      <c r="C219" s="2" t="s">
        <v>20</v>
      </c>
      <c r="D219" s="2" t="s">
        <v>21</v>
      </c>
      <c r="E219" s="2">
        <v>33987.33</v>
      </c>
      <c r="F219" s="2">
        <v>5014.0</v>
      </c>
      <c r="G219" s="2">
        <v>0.246</v>
      </c>
      <c r="H219" s="2">
        <v>17.0</v>
      </c>
      <c r="I219" s="2">
        <v>94.3</v>
      </c>
      <c r="J219" s="2">
        <v>10.34</v>
      </c>
      <c r="K219" s="2">
        <v>0.0</v>
      </c>
      <c r="L219" s="2">
        <v>3.9</v>
      </c>
      <c r="M219" s="2">
        <v>622892.42</v>
      </c>
      <c r="N219" s="2">
        <v>101032.52</v>
      </c>
    </row>
    <row r="220" ht="15.75" customHeight="1">
      <c r="A220" s="2" t="s">
        <v>76</v>
      </c>
      <c r="B220" s="3">
        <v>45717.0</v>
      </c>
      <c r="C220" s="2" t="s">
        <v>20</v>
      </c>
      <c r="D220" s="2" t="s">
        <v>21</v>
      </c>
      <c r="E220" s="2">
        <v>58785.33</v>
      </c>
      <c r="F220" s="2">
        <v>4467.0</v>
      </c>
      <c r="G220" s="2">
        <v>0.229</v>
      </c>
      <c r="H220" s="2">
        <v>14.0</v>
      </c>
      <c r="I220" s="2">
        <v>90.7</v>
      </c>
      <c r="J220" s="2">
        <v>1.92</v>
      </c>
      <c r="K220" s="2">
        <v>0.0</v>
      </c>
      <c r="L220" s="2">
        <v>3.7</v>
      </c>
      <c r="M220" s="2">
        <v>673348.56</v>
      </c>
      <c r="N220" s="2">
        <v>69464.59</v>
      </c>
    </row>
    <row r="221" ht="15.75" customHeight="1">
      <c r="A221" s="2" t="s">
        <v>76</v>
      </c>
      <c r="B221" s="3">
        <v>45748.0</v>
      </c>
      <c r="C221" s="2" t="s">
        <v>20</v>
      </c>
      <c r="D221" s="2" t="s">
        <v>21</v>
      </c>
      <c r="E221" s="2">
        <v>16451.85</v>
      </c>
      <c r="F221" s="2">
        <v>4678.0</v>
      </c>
      <c r="G221" s="2">
        <v>0.133</v>
      </c>
      <c r="H221" s="2">
        <v>11.0</v>
      </c>
      <c r="I221" s="2">
        <v>95.9</v>
      </c>
      <c r="J221" s="2">
        <v>3.1</v>
      </c>
      <c r="K221" s="2">
        <v>0.0</v>
      </c>
      <c r="L221" s="2">
        <v>3.9</v>
      </c>
      <c r="M221" s="2">
        <v>606278.3</v>
      </c>
      <c r="N221" s="2">
        <v>102213.26</v>
      </c>
    </row>
    <row r="222" ht="15.75" customHeight="1">
      <c r="A222" s="2" t="s">
        <v>77</v>
      </c>
      <c r="B222" s="3">
        <v>45658.0</v>
      </c>
      <c r="C222" s="2" t="s">
        <v>15</v>
      </c>
      <c r="D222" s="2" t="s">
        <v>18</v>
      </c>
      <c r="E222" s="2">
        <v>53367.73</v>
      </c>
      <c r="F222" s="2">
        <v>7291.0</v>
      </c>
      <c r="G222" s="2">
        <v>0.146</v>
      </c>
      <c r="H222" s="2">
        <v>18.0</v>
      </c>
      <c r="I222" s="2">
        <v>90.6</v>
      </c>
      <c r="J222" s="2">
        <v>6.34</v>
      </c>
      <c r="K222" s="2">
        <v>1.0</v>
      </c>
      <c r="L222" s="2">
        <v>3.8</v>
      </c>
      <c r="M222" s="2">
        <v>712219.81</v>
      </c>
      <c r="N222" s="2">
        <v>85906.54</v>
      </c>
    </row>
    <row r="223" ht="15.75" customHeight="1">
      <c r="A223" s="2" t="s">
        <v>77</v>
      </c>
      <c r="B223" s="3">
        <v>45689.0</v>
      </c>
      <c r="C223" s="2" t="s">
        <v>15</v>
      </c>
      <c r="D223" s="2" t="s">
        <v>18</v>
      </c>
      <c r="E223" s="2">
        <v>27194.64</v>
      </c>
      <c r="F223" s="2">
        <v>7404.0</v>
      </c>
      <c r="G223" s="2">
        <v>0.088</v>
      </c>
      <c r="H223" s="2">
        <v>18.0</v>
      </c>
      <c r="I223" s="2">
        <v>90.2</v>
      </c>
      <c r="J223" s="2">
        <v>1.2</v>
      </c>
      <c r="K223" s="2">
        <v>0.0</v>
      </c>
      <c r="L223" s="2">
        <v>3.4</v>
      </c>
      <c r="M223" s="2">
        <v>672670.54</v>
      </c>
      <c r="N223" s="2">
        <v>132684.18</v>
      </c>
    </row>
    <row r="224" ht="15.75" customHeight="1">
      <c r="A224" s="2" t="s">
        <v>77</v>
      </c>
      <c r="B224" s="3">
        <v>45717.0</v>
      </c>
      <c r="C224" s="2" t="s">
        <v>15</v>
      </c>
      <c r="D224" s="2" t="s">
        <v>18</v>
      </c>
      <c r="E224" s="2">
        <v>66962.74</v>
      </c>
      <c r="F224" s="2">
        <v>7880.0</v>
      </c>
      <c r="G224" s="2">
        <v>0.116</v>
      </c>
      <c r="H224" s="2">
        <v>19.0</v>
      </c>
      <c r="I224" s="2">
        <v>90.4</v>
      </c>
      <c r="J224" s="2">
        <v>4.5</v>
      </c>
      <c r="K224" s="2">
        <v>0.0</v>
      </c>
      <c r="L224" s="2">
        <v>3.3</v>
      </c>
      <c r="M224" s="2">
        <v>732667.92</v>
      </c>
      <c r="N224" s="2">
        <v>128654.46</v>
      </c>
    </row>
    <row r="225" ht="15.75" customHeight="1">
      <c r="A225" s="2" t="s">
        <v>77</v>
      </c>
      <c r="B225" s="3">
        <v>45748.0</v>
      </c>
      <c r="C225" s="2" t="s">
        <v>15</v>
      </c>
      <c r="D225" s="2" t="s">
        <v>18</v>
      </c>
      <c r="E225" s="2">
        <v>73540.99</v>
      </c>
      <c r="F225" s="2">
        <v>8773.0</v>
      </c>
      <c r="G225" s="2">
        <v>0.035</v>
      </c>
      <c r="H225" s="2">
        <v>21.0</v>
      </c>
      <c r="I225" s="2">
        <v>84.4</v>
      </c>
      <c r="J225" s="2">
        <v>6.68</v>
      </c>
      <c r="K225" s="2">
        <v>0.0</v>
      </c>
      <c r="L225" s="2">
        <v>3.6</v>
      </c>
      <c r="M225" s="2">
        <v>723531.4</v>
      </c>
      <c r="N225" s="2">
        <v>108794.85</v>
      </c>
    </row>
    <row r="226" ht="15.75" customHeight="1">
      <c r="A226" s="2" t="s">
        <v>78</v>
      </c>
      <c r="B226" s="3">
        <v>45658.0</v>
      </c>
      <c r="C226" s="2" t="s">
        <v>15</v>
      </c>
      <c r="D226" s="2" t="s">
        <v>28</v>
      </c>
      <c r="E226" s="2">
        <v>68212.29</v>
      </c>
      <c r="F226" s="2">
        <v>4713.0</v>
      </c>
      <c r="G226" s="2">
        <v>0.198</v>
      </c>
      <c r="H226" s="2">
        <v>15.0</v>
      </c>
      <c r="I226" s="2">
        <v>82.6</v>
      </c>
      <c r="J226" s="2">
        <v>4.07</v>
      </c>
      <c r="K226" s="2">
        <v>1.0</v>
      </c>
      <c r="L226" s="2">
        <v>3.0</v>
      </c>
      <c r="M226" s="2">
        <v>641564.6</v>
      </c>
      <c r="N226" s="2">
        <v>90468.96</v>
      </c>
    </row>
    <row r="227" ht="15.75" customHeight="1">
      <c r="A227" s="2" t="s">
        <v>78</v>
      </c>
      <c r="B227" s="3">
        <v>45689.0</v>
      </c>
      <c r="C227" s="2" t="s">
        <v>15</v>
      </c>
      <c r="D227" s="2" t="s">
        <v>28</v>
      </c>
      <c r="E227" s="2">
        <v>57225.98</v>
      </c>
      <c r="F227" s="2">
        <v>2842.0</v>
      </c>
      <c r="G227" s="2">
        <v>0.112</v>
      </c>
      <c r="H227" s="2">
        <v>10.0</v>
      </c>
      <c r="I227" s="2">
        <v>79.5</v>
      </c>
      <c r="J227" s="2">
        <v>5.45</v>
      </c>
      <c r="K227" s="2">
        <v>0.0</v>
      </c>
      <c r="L227" s="2">
        <v>3.4</v>
      </c>
      <c r="M227" s="2">
        <v>536545.49</v>
      </c>
      <c r="N227" s="2">
        <v>97917.45</v>
      </c>
    </row>
    <row r="228" ht="15.75" customHeight="1">
      <c r="A228" s="2" t="s">
        <v>78</v>
      </c>
      <c r="B228" s="3">
        <v>45717.0</v>
      </c>
      <c r="C228" s="2" t="s">
        <v>15</v>
      </c>
      <c r="D228" s="2" t="s">
        <v>28</v>
      </c>
      <c r="E228" s="2">
        <v>42932.02</v>
      </c>
      <c r="F228" s="2">
        <v>3872.0</v>
      </c>
      <c r="G228" s="2">
        <v>0.171</v>
      </c>
      <c r="H228" s="2">
        <v>12.0</v>
      </c>
      <c r="I228" s="2">
        <v>83.2</v>
      </c>
      <c r="J228" s="2">
        <v>15.58</v>
      </c>
      <c r="K228" s="2">
        <v>0.0</v>
      </c>
      <c r="L228" s="2">
        <v>3.3</v>
      </c>
      <c r="M228" s="2">
        <v>527681.56</v>
      </c>
      <c r="N228" s="2">
        <v>63153.05</v>
      </c>
    </row>
    <row r="229" ht="15.75" customHeight="1">
      <c r="A229" s="2" t="s">
        <v>78</v>
      </c>
      <c r="B229" s="3">
        <v>45748.0</v>
      </c>
      <c r="C229" s="2" t="s">
        <v>15</v>
      </c>
      <c r="D229" s="2" t="s">
        <v>28</v>
      </c>
      <c r="E229" s="2">
        <v>39341.45</v>
      </c>
      <c r="F229" s="2">
        <v>1375.0</v>
      </c>
      <c r="G229" s="2">
        <v>0.093</v>
      </c>
      <c r="H229" s="2">
        <v>5.0</v>
      </c>
      <c r="I229" s="2">
        <v>95.0</v>
      </c>
      <c r="J229" s="2">
        <v>5.32</v>
      </c>
      <c r="K229" s="2">
        <v>0.0</v>
      </c>
      <c r="L229" s="2"/>
      <c r="M229" s="2">
        <v>529598.94</v>
      </c>
      <c r="N229" s="2">
        <v>84334.33</v>
      </c>
    </row>
    <row r="230" ht="15.75" customHeight="1">
      <c r="A230" s="2" t="s">
        <v>79</v>
      </c>
      <c r="B230" s="3">
        <v>45658.0</v>
      </c>
      <c r="C230" s="2" t="s">
        <v>15</v>
      </c>
      <c r="D230" s="2" t="s">
        <v>18</v>
      </c>
      <c r="E230" s="2">
        <v>37324.23</v>
      </c>
      <c r="F230" s="2">
        <v>5957.0</v>
      </c>
      <c r="G230" s="2">
        <v>0.071</v>
      </c>
      <c r="H230" s="2">
        <v>12.0</v>
      </c>
      <c r="I230" s="2">
        <v>85.9</v>
      </c>
      <c r="J230" s="2">
        <v>0.37</v>
      </c>
      <c r="K230" s="2">
        <v>0.0</v>
      </c>
      <c r="L230" s="2">
        <v>3.8</v>
      </c>
      <c r="M230" s="2">
        <v>570963.31</v>
      </c>
      <c r="N230" s="2">
        <v>87342.25</v>
      </c>
    </row>
    <row r="231" ht="15.75" customHeight="1">
      <c r="A231" s="2" t="s">
        <v>79</v>
      </c>
      <c r="B231" s="3">
        <v>45689.0</v>
      </c>
      <c r="C231" s="2" t="s">
        <v>15</v>
      </c>
      <c r="D231" s="2" t="s">
        <v>18</v>
      </c>
      <c r="E231" s="2">
        <v>113736.0</v>
      </c>
      <c r="F231" s="2">
        <v>8961.0</v>
      </c>
      <c r="G231" s="2">
        <v>0.202</v>
      </c>
      <c r="H231" s="2">
        <v>24.0</v>
      </c>
      <c r="I231" s="2">
        <v>86.2</v>
      </c>
      <c r="J231" s="2">
        <v>21.63</v>
      </c>
      <c r="K231" s="2">
        <v>0.0</v>
      </c>
      <c r="L231" s="2">
        <v>4.0</v>
      </c>
      <c r="M231" s="2">
        <v>870937.4</v>
      </c>
      <c r="N231" s="2">
        <v>175282.74</v>
      </c>
    </row>
    <row r="232" ht="15.75" customHeight="1">
      <c r="A232" s="2" t="s">
        <v>79</v>
      </c>
      <c r="B232" s="3">
        <v>45717.0</v>
      </c>
      <c r="C232" s="2" t="s">
        <v>15</v>
      </c>
      <c r="D232" s="2" t="s">
        <v>18</v>
      </c>
      <c r="E232" s="2">
        <v>33173.95</v>
      </c>
      <c r="F232" s="2">
        <v>6545.0</v>
      </c>
      <c r="G232" s="2">
        <v>0.169</v>
      </c>
      <c r="H232" s="2">
        <v>15.0</v>
      </c>
      <c r="I232" s="2">
        <v>84.4</v>
      </c>
      <c r="J232" s="2">
        <v>2.48</v>
      </c>
      <c r="K232" s="2">
        <v>0.0</v>
      </c>
      <c r="L232" s="2">
        <v>3.9</v>
      </c>
      <c r="M232" s="2">
        <v>596969.27</v>
      </c>
      <c r="N232" s="2">
        <v>105669.51</v>
      </c>
    </row>
    <row r="233" ht="15.75" customHeight="1">
      <c r="A233" s="2" t="s">
        <v>79</v>
      </c>
      <c r="B233" s="3">
        <v>45748.0</v>
      </c>
      <c r="C233" s="2" t="s">
        <v>15</v>
      </c>
      <c r="D233" s="2" t="s">
        <v>18</v>
      </c>
      <c r="E233" s="2">
        <v>25818.08</v>
      </c>
      <c r="F233" s="2">
        <v>5457.0</v>
      </c>
      <c r="G233" s="2">
        <v>0.0</v>
      </c>
      <c r="H233" s="2">
        <v>11.0</v>
      </c>
      <c r="I233" s="2">
        <v>95.4</v>
      </c>
      <c r="J233" s="2"/>
      <c r="K233" s="2">
        <v>0.0</v>
      </c>
      <c r="L233" s="2">
        <v>3.7</v>
      </c>
      <c r="M233" s="2">
        <v>647512.85</v>
      </c>
      <c r="N233" s="2">
        <v>153835.57</v>
      </c>
    </row>
    <row r="234" ht="15.75" customHeight="1">
      <c r="A234" s="2" t="s">
        <v>80</v>
      </c>
      <c r="B234" s="3">
        <v>45658.0</v>
      </c>
      <c r="C234" s="2" t="s">
        <v>27</v>
      </c>
      <c r="D234" s="2" t="s">
        <v>16</v>
      </c>
      <c r="E234" s="2">
        <v>47241.92</v>
      </c>
      <c r="F234" s="2">
        <v>4264.0</v>
      </c>
      <c r="G234" s="2">
        <v>0.069</v>
      </c>
      <c r="H234" s="2">
        <v>13.0</v>
      </c>
      <c r="I234" s="2">
        <v>95.3</v>
      </c>
      <c r="J234" s="2">
        <v>0.85</v>
      </c>
      <c r="K234" s="2">
        <v>0.0</v>
      </c>
      <c r="L234" s="2">
        <v>4.3</v>
      </c>
      <c r="M234" s="2">
        <v>658072.14</v>
      </c>
      <c r="N234" s="2">
        <v>110595.89</v>
      </c>
    </row>
    <row r="235" ht="15.75" customHeight="1">
      <c r="A235" s="2" t="s">
        <v>80</v>
      </c>
      <c r="B235" s="3">
        <v>45689.0</v>
      </c>
      <c r="C235" s="2" t="s">
        <v>27</v>
      </c>
      <c r="D235" s="2" t="s">
        <v>16</v>
      </c>
      <c r="E235" s="2">
        <v>61650.79</v>
      </c>
      <c r="F235" s="2">
        <v>5321.0</v>
      </c>
      <c r="G235" s="2">
        <v>0.126</v>
      </c>
      <c r="H235" s="2">
        <v>17.0</v>
      </c>
      <c r="I235" s="2">
        <v>89.2</v>
      </c>
      <c r="J235" s="2">
        <v>2.13</v>
      </c>
      <c r="K235" s="2">
        <v>0.0</v>
      </c>
      <c r="L235" s="2">
        <v>4.0</v>
      </c>
      <c r="M235" s="2">
        <v>723305.11</v>
      </c>
      <c r="N235" s="2">
        <v>128468.7</v>
      </c>
    </row>
    <row r="236" ht="15.75" customHeight="1">
      <c r="A236" s="2" t="s">
        <v>80</v>
      </c>
      <c r="B236" s="3">
        <v>45717.0</v>
      </c>
      <c r="C236" s="2" t="s">
        <v>27</v>
      </c>
      <c r="D236" s="2" t="s">
        <v>16</v>
      </c>
      <c r="E236" s="2">
        <v>62582.71</v>
      </c>
      <c r="F236" s="2">
        <v>5479.0</v>
      </c>
      <c r="G236" s="2">
        <v>0.048</v>
      </c>
      <c r="H236" s="2">
        <v>16.0</v>
      </c>
      <c r="I236" s="2">
        <v>81.2</v>
      </c>
      <c r="J236" s="2">
        <v>1.46</v>
      </c>
      <c r="K236" s="2">
        <v>0.0</v>
      </c>
      <c r="L236" s="2">
        <v>4.5</v>
      </c>
      <c r="M236" s="2">
        <v>640666.53</v>
      </c>
      <c r="N236" s="2">
        <v>134919.16</v>
      </c>
    </row>
    <row r="237" ht="15.75" customHeight="1">
      <c r="A237" s="2" t="s">
        <v>80</v>
      </c>
      <c r="B237" s="3">
        <v>45748.0</v>
      </c>
      <c r="C237" s="2" t="s">
        <v>27</v>
      </c>
      <c r="D237" s="2" t="s">
        <v>16</v>
      </c>
      <c r="E237" s="2">
        <v>47944.14</v>
      </c>
      <c r="F237" s="2">
        <v>6169.0</v>
      </c>
      <c r="G237" s="2">
        <v>0.119</v>
      </c>
      <c r="H237" s="2">
        <v>17.0</v>
      </c>
      <c r="I237" s="2">
        <v>92.2</v>
      </c>
      <c r="J237" s="2">
        <v>3.02</v>
      </c>
      <c r="K237" s="2">
        <v>0.0</v>
      </c>
      <c r="L237" s="2">
        <v>4.1</v>
      </c>
      <c r="M237" s="2">
        <v>670629.48</v>
      </c>
      <c r="N237" s="2">
        <v>100140.8</v>
      </c>
    </row>
    <row r="238" ht="15.75" customHeight="1">
      <c r="A238" s="2" t="s">
        <v>81</v>
      </c>
      <c r="B238" s="3">
        <v>45658.0</v>
      </c>
      <c r="C238" s="2" t="s">
        <v>27</v>
      </c>
      <c r="D238" s="2" t="s">
        <v>28</v>
      </c>
      <c r="E238" s="2">
        <v>46495.4</v>
      </c>
      <c r="F238" s="2">
        <v>9908.0</v>
      </c>
      <c r="G238" s="2">
        <v>0.121</v>
      </c>
      <c r="H238" s="2">
        <v>22.0</v>
      </c>
      <c r="I238" s="2">
        <v>89.4</v>
      </c>
      <c r="J238" s="2">
        <v>3.22</v>
      </c>
      <c r="K238" s="2">
        <v>0.0</v>
      </c>
      <c r="L238" s="2">
        <v>3.7</v>
      </c>
      <c r="M238" s="2">
        <v>721079.35</v>
      </c>
      <c r="N238" s="2">
        <v>115295.05</v>
      </c>
    </row>
    <row r="239" ht="15.75" customHeight="1">
      <c r="A239" s="2" t="s">
        <v>81</v>
      </c>
      <c r="B239" s="3">
        <v>45689.0</v>
      </c>
      <c r="C239" s="2" t="s">
        <v>27</v>
      </c>
      <c r="D239" s="2" t="s">
        <v>28</v>
      </c>
      <c r="E239" s="2">
        <v>72961.95</v>
      </c>
      <c r="F239" s="2">
        <v>9996.0</v>
      </c>
      <c r="G239" s="2">
        <v>0.106</v>
      </c>
      <c r="H239" s="2">
        <v>22.0</v>
      </c>
      <c r="I239" s="2">
        <v>89.1</v>
      </c>
      <c r="J239" s="2">
        <v>15.66</v>
      </c>
      <c r="K239" s="2">
        <v>0.0</v>
      </c>
      <c r="L239" s="2">
        <v>3.4</v>
      </c>
      <c r="M239" s="2">
        <v>810355.02</v>
      </c>
      <c r="N239" s="2">
        <v>131510.0</v>
      </c>
    </row>
    <row r="240" ht="15.75" customHeight="1">
      <c r="A240" s="2" t="s">
        <v>81</v>
      </c>
      <c r="B240" s="3">
        <v>45717.0</v>
      </c>
      <c r="C240" s="2" t="s">
        <v>27</v>
      </c>
      <c r="D240" s="2" t="s">
        <v>28</v>
      </c>
      <c r="E240" s="2">
        <v>59060.05</v>
      </c>
      <c r="F240" s="2">
        <v>9702.0</v>
      </c>
      <c r="G240" s="2">
        <v>0.201</v>
      </c>
      <c r="H240" s="2">
        <v>23.0</v>
      </c>
      <c r="I240" s="2">
        <v>80.9</v>
      </c>
      <c r="J240" s="2">
        <v>6.96</v>
      </c>
      <c r="K240" s="2">
        <v>0.0</v>
      </c>
      <c r="L240" s="2">
        <v>3.2</v>
      </c>
      <c r="M240" s="2">
        <v>761919.25</v>
      </c>
      <c r="N240" s="2">
        <v>111893.06</v>
      </c>
    </row>
    <row r="241" ht="15.75" customHeight="1">
      <c r="A241" s="2" t="s">
        <v>81</v>
      </c>
      <c r="B241" s="3">
        <v>45748.0</v>
      </c>
      <c r="C241" s="2" t="s">
        <v>27</v>
      </c>
      <c r="D241" s="2" t="s">
        <v>28</v>
      </c>
      <c r="E241" s="2">
        <v>26248.1</v>
      </c>
      <c r="F241" s="2">
        <v>9314.0</v>
      </c>
      <c r="G241" s="2">
        <v>0.186</v>
      </c>
      <c r="H241" s="2">
        <v>21.0</v>
      </c>
      <c r="I241" s="2">
        <v>83.7</v>
      </c>
      <c r="J241" s="2">
        <v>4.62</v>
      </c>
      <c r="K241" s="2">
        <v>0.0</v>
      </c>
      <c r="L241" s="2">
        <v>3.3</v>
      </c>
      <c r="M241" s="2">
        <v>737070.18</v>
      </c>
      <c r="N241" s="2">
        <v>117593.97</v>
      </c>
    </row>
    <row r="242" ht="15.75" customHeight="1">
      <c r="A242" s="2" t="s">
        <v>82</v>
      </c>
      <c r="B242" s="3">
        <v>45658.0</v>
      </c>
      <c r="C242" s="2" t="s">
        <v>24</v>
      </c>
      <c r="D242" s="2" t="s">
        <v>21</v>
      </c>
      <c r="E242" s="2">
        <v>69900.12</v>
      </c>
      <c r="F242" s="2">
        <v>8055.0</v>
      </c>
      <c r="G242" s="2">
        <v>0.281</v>
      </c>
      <c r="H242" s="2">
        <v>22.0</v>
      </c>
      <c r="I242" s="2">
        <v>85.6</v>
      </c>
      <c r="J242" s="2">
        <v>10.68</v>
      </c>
      <c r="K242" s="2">
        <v>1.0</v>
      </c>
      <c r="L242" s="2">
        <v>2.9</v>
      </c>
      <c r="M242" s="2">
        <v>776992.93</v>
      </c>
      <c r="N242" s="2">
        <v>101598.32</v>
      </c>
    </row>
    <row r="243" ht="15.75" customHeight="1">
      <c r="A243" s="2" t="s">
        <v>82</v>
      </c>
      <c r="B243" s="3">
        <v>45689.0</v>
      </c>
      <c r="C243" s="2" t="s">
        <v>24</v>
      </c>
      <c r="D243" s="2" t="s">
        <v>21</v>
      </c>
      <c r="E243" s="2">
        <v>51781.6</v>
      </c>
      <c r="F243" s="2">
        <v>5648.0</v>
      </c>
      <c r="G243" s="2">
        <v>0.059</v>
      </c>
      <c r="H243" s="2">
        <v>13.0</v>
      </c>
      <c r="I243" s="2">
        <v>85.5</v>
      </c>
      <c r="J243" s="2">
        <v>4.04</v>
      </c>
      <c r="K243" s="2">
        <v>0.0</v>
      </c>
      <c r="L243" s="2">
        <v>3.7</v>
      </c>
      <c r="M243" s="2">
        <v>676337.41</v>
      </c>
      <c r="N243" s="2">
        <v>104355.77</v>
      </c>
    </row>
    <row r="244" ht="15.75" customHeight="1">
      <c r="A244" s="2" t="s">
        <v>82</v>
      </c>
      <c r="B244" s="3">
        <v>45717.0</v>
      </c>
      <c r="C244" s="2" t="s">
        <v>24</v>
      </c>
      <c r="D244" s="2" t="s">
        <v>21</v>
      </c>
      <c r="E244" s="2">
        <v>70799.64</v>
      </c>
      <c r="F244" s="2">
        <v>10076.0</v>
      </c>
      <c r="G244" s="2">
        <v>0.152</v>
      </c>
      <c r="H244" s="2">
        <v>24.0</v>
      </c>
      <c r="I244" s="2">
        <v>84.8</v>
      </c>
      <c r="J244" s="2">
        <v>1.87</v>
      </c>
      <c r="K244" s="2">
        <v>0.0</v>
      </c>
      <c r="L244" s="2">
        <v>3.5</v>
      </c>
      <c r="M244" s="2">
        <v>828219.67</v>
      </c>
      <c r="N244" s="2">
        <v>179806.87</v>
      </c>
    </row>
    <row r="245" ht="15.75" customHeight="1">
      <c r="A245" s="2" t="s">
        <v>82</v>
      </c>
      <c r="B245" s="3">
        <v>45748.0</v>
      </c>
      <c r="C245" s="2" t="s">
        <v>24</v>
      </c>
      <c r="D245" s="2" t="s">
        <v>21</v>
      </c>
      <c r="E245" s="2">
        <v>53546.34</v>
      </c>
      <c r="F245" s="2">
        <v>8004.0</v>
      </c>
      <c r="G245" s="2">
        <v>0.0</v>
      </c>
      <c r="H245" s="2">
        <v>21.0</v>
      </c>
      <c r="I245" s="2">
        <v>95.2</v>
      </c>
      <c r="J245" s="2">
        <v>2.83</v>
      </c>
      <c r="K245" s="2">
        <v>0.0</v>
      </c>
      <c r="L245" s="2">
        <v>3.0</v>
      </c>
      <c r="M245" s="2">
        <v>763159.92</v>
      </c>
      <c r="N245" s="2">
        <v>177104.87</v>
      </c>
    </row>
    <row r="246" ht="15.75" customHeight="1">
      <c r="A246" s="2" t="s">
        <v>83</v>
      </c>
      <c r="B246" s="3">
        <v>45658.0</v>
      </c>
      <c r="C246" s="2" t="s">
        <v>15</v>
      </c>
      <c r="D246" s="2" t="s">
        <v>18</v>
      </c>
      <c r="E246" s="2">
        <v>76942.2</v>
      </c>
      <c r="F246" s="2">
        <v>8934.0</v>
      </c>
      <c r="G246" s="2">
        <v>0.084</v>
      </c>
      <c r="H246" s="2">
        <v>20.0</v>
      </c>
      <c r="I246" s="2">
        <v>91.0</v>
      </c>
      <c r="J246" s="2">
        <v>0.95</v>
      </c>
      <c r="K246" s="2">
        <v>0.0</v>
      </c>
      <c r="L246" s="2">
        <v>3.2</v>
      </c>
      <c r="M246" s="2">
        <v>802001.68</v>
      </c>
      <c r="N246" s="2">
        <v>159715.82</v>
      </c>
    </row>
    <row r="247" ht="15.75" customHeight="1">
      <c r="A247" s="2" t="s">
        <v>83</v>
      </c>
      <c r="B247" s="3">
        <v>45689.0</v>
      </c>
      <c r="C247" s="2" t="s">
        <v>15</v>
      </c>
      <c r="D247" s="2" t="s">
        <v>18</v>
      </c>
      <c r="E247" s="2">
        <v>48060.78</v>
      </c>
      <c r="F247" s="2">
        <v>8733.0</v>
      </c>
      <c r="G247" s="2">
        <v>0.0</v>
      </c>
      <c r="H247" s="2">
        <v>20.0</v>
      </c>
      <c r="I247" s="2">
        <v>89.9</v>
      </c>
      <c r="J247" s="2">
        <v>0.8</v>
      </c>
      <c r="K247" s="2">
        <v>0.0</v>
      </c>
      <c r="L247" s="2">
        <v>3.4</v>
      </c>
      <c r="M247" s="2">
        <v>750471.34</v>
      </c>
      <c r="N247" s="2">
        <v>133788.04</v>
      </c>
    </row>
    <row r="248" ht="15.75" customHeight="1">
      <c r="A248" s="2" t="s">
        <v>83</v>
      </c>
      <c r="B248" s="3">
        <v>45717.0</v>
      </c>
      <c r="C248" s="2" t="s">
        <v>15</v>
      </c>
      <c r="D248" s="2" t="s">
        <v>18</v>
      </c>
      <c r="E248" s="2">
        <v>57390.04</v>
      </c>
      <c r="F248" s="2">
        <v>7374.0</v>
      </c>
      <c r="G248" s="2">
        <v>0.21</v>
      </c>
      <c r="H248" s="2">
        <v>21.0</v>
      </c>
      <c r="I248" s="2">
        <v>91.8</v>
      </c>
      <c r="J248" s="2">
        <v>0.2</v>
      </c>
      <c r="K248" s="2">
        <v>0.0</v>
      </c>
      <c r="L248" s="2">
        <v>3.1</v>
      </c>
      <c r="M248" s="2">
        <v>679230.86</v>
      </c>
      <c r="N248" s="2">
        <v>106927.58</v>
      </c>
    </row>
    <row r="249" ht="15.75" customHeight="1">
      <c r="A249" s="2" t="s">
        <v>83</v>
      </c>
      <c r="B249" s="3">
        <v>45748.0</v>
      </c>
      <c r="C249" s="2" t="s">
        <v>15</v>
      </c>
      <c r="D249" s="2" t="s">
        <v>18</v>
      </c>
      <c r="E249" s="2">
        <v>21536.18</v>
      </c>
      <c r="F249" s="2">
        <v>8119.0</v>
      </c>
      <c r="G249" s="2">
        <v>0.227</v>
      </c>
      <c r="H249" s="2">
        <v>20.0</v>
      </c>
      <c r="I249" s="2">
        <v>90.4</v>
      </c>
      <c r="J249" s="2">
        <v>1.7</v>
      </c>
      <c r="K249" s="2">
        <v>0.0</v>
      </c>
      <c r="L249" s="2">
        <v>3.3</v>
      </c>
      <c r="M249" s="2">
        <v>679888.74</v>
      </c>
      <c r="N249" s="2">
        <v>83406.89</v>
      </c>
    </row>
    <row r="250" ht="15.75" customHeight="1">
      <c r="A250" s="2" t="s">
        <v>84</v>
      </c>
      <c r="B250" s="3">
        <v>45658.0</v>
      </c>
      <c r="C250" s="2" t="s">
        <v>20</v>
      </c>
      <c r="D250" s="2" t="s">
        <v>18</v>
      </c>
      <c r="E250" s="2">
        <v>40923.67</v>
      </c>
      <c r="F250" s="2">
        <v>3875.0</v>
      </c>
      <c r="G250" s="2">
        <v>0.15</v>
      </c>
      <c r="H250" s="2">
        <v>10.0</v>
      </c>
      <c r="I250" s="2">
        <v>96.1</v>
      </c>
      <c r="J250" s="2"/>
      <c r="K250" s="2">
        <v>0.0</v>
      </c>
      <c r="L250" s="2">
        <v>3.8</v>
      </c>
      <c r="M250" s="2">
        <v>606783.67</v>
      </c>
      <c r="N250" s="2">
        <v>74515.87</v>
      </c>
    </row>
    <row r="251" ht="15.75" customHeight="1">
      <c r="A251" s="2" t="s">
        <v>84</v>
      </c>
      <c r="B251" s="3">
        <v>45689.0</v>
      </c>
      <c r="C251" s="2" t="s">
        <v>20</v>
      </c>
      <c r="D251" s="2" t="s">
        <v>18</v>
      </c>
      <c r="E251" s="2">
        <v>72932.55</v>
      </c>
      <c r="F251" s="2">
        <v>5765.0</v>
      </c>
      <c r="G251" s="2">
        <v>0.026</v>
      </c>
      <c r="H251" s="2">
        <v>17.0</v>
      </c>
      <c r="I251" s="2">
        <v>81.8</v>
      </c>
      <c r="J251" s="2">
        <v>5.1</v>
      </c>
      <c r="K251" s="2">
        <v>0.0</v>
      </c>
      <c r="L251" s="2">
        <v>3.6</v>
      </c>
      <c r="M251" s="2">
        <v>642751.42</v>
      </c>
      <c r="N251" s="2">
        <v>131942.15</v>
      </c>
    </row>
    <row r="252" ht="15.75" customHeight="1">
      <c r="A252" s="2" t="s">
        <v>84</v>
      </c>
      <c r="B252" s="3">
        <v>45717.0</v>
      </c>
      <c r="C252" s="2" t="s">
        <v>20</v>
      </c>
      <c r="D252" s="2" t="s">
        <v>18</v>
      </c>
      <c r="E252" s="2">
        <v>38361.93</v>
      </c>
      <c r="F252" s="2">
        <v>6322.0</v>
      </c>
      <c r="G252" s="2">
        <v>0.273</v>
      </c>
      <c r="H252" s="2">
        <v>15.0</v>
      </c>
      <c r="I252" s="2">
        <v>88.4</v>
      </c>
      <c r="J252" s="2">
        <v>0.83</v>
      </c>
      <c r="K252" s="2">
        <v>0.0</v>
      </c>
      <c r="L252" s="2">
        <v>4.0</v>
      </c>
      <c r="M252" s="2">
        <v>647953.78</v>
      </c>
      <c r="N252" s="2">
        <v>118497.43</v>
      </c>
    </row>
    <row r="253" ht="15.75" customHeight="1">
      <c r="A253" s="2" t="s">
        <v>84</v>
      </c>
      <c r="B253" s="3">
        <v>45748.0</v>
      </c>
      <c r="C253" s="2" t="s">
        <v>20</v>
      </c>
      <c r="D253" s="2" t="s">
        <v>18</v>
      </c>
      <c r="E253" s="2">
        <v>97480.94</v>
      </c>
      <c r="F253" s="2">
        <v>6840.0</v>
      </c>
      <c r="G253" s="2">
        <v>0.087</v>
      </c>
      <c r="H253" s="2">
        <v>14.0</v>
      </c>
      <c r="I253" s="2">
        <v>79.2</v>
      </c>
      <c r="J253" s="2">
        <v>1.14</v>
      </c>
      <c r="K253" s="2">
        <v>0.0</v>
      </c>
      <c r="L253" s="2">
        <v>4.0</v>
      </c>
      <c r="M253" s="2">
        <v>729440.45</v>
      </c>
      <c r="N253" s="2">
        <v>87614.29</v>
      </c>
    </row>
    <row r="254" ht="15.75" customHeight="1">
      <c r="A254" s="2" t="s">
        <v>85</v>
      </c>
      <c r="B254" s="3">
        <v>45658.0</v>
      </c>
      <c r="C254" s="2" t="s">
        <v>24</v>
      </c>
      <c r="D254" s="2" t="s">
        <v>21</v>
      </c>
      <c r="E254" s="2">
        <v>81801.8</v>
      </c>
      <c r="F254" s="2">
        <v>6782.0</v>
      </c>
      <c r="G254" s="2">
        <v>0.05</v>
      </c>
      <c r="H254" s="2">
        <v>16.0</v>
      </c>
      <c r="I254" s="2">
        <v>99.0</v>
      </c>
      <c r="J254" s="2">
        <v>9.54</v>
      </c>
      <c r="K254" s="2">
        <v>0.0</v>
      </c>
      <c r="L254" s="2">
        <v>3.7</v>
      </c>
      <c r="M254" s="2">
        <v>764949.0</v>
      </c>
      <c r="N254" s="2">
        <v>148322.43</v>
      </c>
    </row>
    <row r="255" ht="15.75" customHeight="1">
      <c r="A255" s="2" t="s">
        <v>85</v>
      </c>
      <c r="B255" s="3">
        <v>45689.0</v>
      </c>
      <c r="C255" s="2" t="s">
        <v>24</v>
      </c>
      <c r="D255" s="2" t="s">
        <v>21</v>
      </c>
      <c r="E255" s="2">
        <v>63582.11</v>
      </c>
      <c r="F255" s="2">
        <v>6856.0</v>
      </c>
      <c r="G255" s="2">
        <v>0.074</v>
      </c>
      <c r="H255" s="2">
        <v>17.0</v>
      </c>
      <c r="I255" s="2">
        <v>89.5</v>
      </c>
      <c r="J255" s="2">
        <v>5.48</v>
      </c>
      <c r="K255" s="2">
        <v>0.0</v>
      </c>
      <c r="L255" s="2">
        <v>3.2</v>
      </c>
      <c r="M255" s="2">
        <v>799046.94</v>
      </c>
      <c r="N255" s="2">
        <v>144553.64</v>
      </c>
    </row>
    <row r="256" ht="15.75" customHeight="1">
      <c r="A256" s="2" t="s">
        <v>85</v>
      </c>
      <c r="B256" s="3">
        <v>45717.0</v>
      </c>
      <c r="C256" s="2" t="s">
        <v>24</v>
      </c>
      <c r="D256" s="2" t="s">
        <v>21</v>
      </c>
      <c r="E256" s="2">
        <v>75412.74</v>
      </c>
      <c r="F256" s="2">
        <v>5641.0</v>
      </c>
      <c r="G256" s="2">
        <v>0.059</v>
      </c>
      <c r="H256" s="2">
        <v>13.0</v>
      </c>
      <c r="I256" s="2">
        <v>87.9</v>
      </c>
      <c r="J256" s="2">
        <v>0.84</v>
      </c>
      <c r="K256" s="2">
        <v>0.0</v>
      </c>
      <c r="L256" s="2">
        <v>3.6</v>
      </c>
      <c r="M256" s="2">
        <v>720079.54</v>
      </c>
      <c r="N256" s="2">
        <v>119499.47</v>
      </c>
    </row>
    <row r="257" ht="15.75" customHeight="1">
      <c r="A257" s="2" t="s">
        <v>85</v>
      </c>
      <c r="B257" s="3">
        <v>45748.0</v>
      </c>
      <c r="C257" s="2" t="s">
        <v>24</v>
      </c>
      <c r="D257" s="2" t="s">
        <v>21</v>
      </c>
      <c r="E257" s="2">
        <v>36290.08</v>
      </c>
      <c r="F257" s="2">
        <v>5787.0</v>
      </c>
      <c r="G257" s="2">
        <v>0.0</v>
      </c>
      <c r="H257" s="2">
        <v>17.0</v>
      </c>
      <c r="I257" s="2">
        <v>88.3</v>
      </c>
      <c r="J257" s="2">
        <v>4.19</v>
      </c>
      <c r="K257" s="2">
        <v>0.0</v>
      </c>
      <c r="L257" s="2">
        <v>4.1</v>
      </c>
      <c r="M257" s="2">
        <v>612390.14</v>
      </c>
      <c r="N257" s="2">
        <v>108985.74</v>
      </c>
    </row>
    <row r="258" ht="15.75" customHeight="1">
      <c r="A258" s="2" t="s">
        <v>86</v>
      </c>
      <c r="B258" s="3">
        <v>45658.0</v>
      </c>
      <c r="C258" s="2" t="s">
        <v>24</v>
      </c>
      <c r="D258" s="2" t="s">
        <v>28</v>
      </c>
      <c r="E258" s="2">
        <v>65272.58</v>
      </c>
      <c r="F258" s="2">
        <v>8165.0</v>
      </c>
      <c r="G258" s="2">
        <v>0.051</v>
      </c>
      <c r="H258" s="2">
        <v>19.0</v>
      </c>
      <c r="I258" s="2">
        <v>87.8</v>
      </c>
      <c r="J258" s="2">
        <v>1.26</v>
      </c>
      <c r="K258" s="2">
        <v>1.0</v>
      </c>
      <c r="L258" s="2">
        <v>4.3</v>
      </c>
      <c r="M258" s="2">
        <v>840108.12</v>
      </c>
      <c r="N258" s="2">
        <v>126587.01</v>
      </c>
    </row>
    <row r="259" ht="15.75" customHeight="1">
      <c r="A259" s="2" t="s">
        <v>86</v>
      </c>
      <c r="B259" s="3">
        <v>45689.0</v>
      </c>
      <c r="C259" s="2" t="s">
        <v>24</v>
      </c>
      <c r="D259" s="2" t="s">
        <v>28</v>
      </c>
      <c r="E259" s="2">
        <v>28670.43</v>
      </c>
      <c r="F259" s="2">
        <v>7574.0</v>
      </c>
      <c r="G259" s="2">
        <v>0.114</v>
      </c>
      <c r="H259" s="2">
        <v>19.0</v>
      </c>
      <c r="I259" s="2">
        <v>82.7</v>
      </c>
      <c r="J259" s="2">
        <v>2.74</v>
      </c>
      <c r="K259" s="2">
        <v>0.0</v>
      </c>
      <c r="L259" s="2">
        <v>4.6</v>
      </c>
      <c r="M259" s="2">
        <v>697888.09</v>
      </c>
      <c r="N259" s="2">
        <v>116249.87</v>
      </c>
    </row>
    <row r="260" ht="15.75" customHeight="1">
      <c r="A260" s="2" t="s">
        <v>86</v>
      </c>
      <c r="B260" s="3">
        <v>45717.0</v>
      </c>
      <c r="C260" s="2" t="s">
        <v>24</v>
      </c>
      <c r="D260" s="2" t="s">
        <v>28</v>
      </c>
      <c r="E260" s="2">
        <v>44189.34</v>
      </c>
      <c r="F260" s="2">
        <v>8634.0</v>
      </c>
      <c r="G260" s="2">
        <v>0.143</v>
      </c>
      <c r="H260" s="2">
        <v>19.0</v>
      </c>
      <c r="I260" s="2">
        <v>87.5</v>
      </c>
      <c r="J260" s="2">
        <v>3.69</v>
      </c>
      <c r="K260" s="2">
        <v>0.0</v>
      </c>
      <c r="L260" s="2">
        <v>4.4</v>
      </c>
      <c r="M260" s="2">
        <v>746115.59</v>
      </c>
      <c r="N260" s="2">
        <v>94662.96</v>
      </c>
    </row>
    <row r="261" ht="15.75" customHeight="1">
      <c r="A261" s="2" t="s">
        <v>86</v>
      </c>
      <c r="B261" s="3">
        <v>45748.0</v>
      </c>
      <c r="C261" s="2" t="s">
        <v>24</v>
      </c>
      <c r="D261" s="2" t="s">
        <v>28</v>
      </c>
      <c r="E261" s="2">
        <v>38397.82</v>
      </c>
      <c r="F261" s="2">
        <v>7836.0</v>
      </c>
      <c r="G261" s="2">
        <v>0.007</v>
      </c>
      <c r="H261" s="2">
        <v>21.0</v>
      </c>
      <c r="I261" s="2">
        <v>92.2</v>
      </c>
      <c r="J261" s="2">
        <v>1.82</v>
      </c>
      <c r="K261" s="2">
        <v>0.0</v>
      </c>
      <c r="L261" s="2">
        <v>3.6</v>
      </c>
      <c r="M261" s="2">
        <v>776110.32</v>
      </c>
      <c r="N261" s="2">
        <v>139676.21</v>
      </c>
    </row>
    <row r="262" ht="15.75" customHeight="1">
      <c r="A262" s="2" t="s">
        <v>87</v>
      </c>
      <c r="B262" s="3">
        <v>45658.0</v>
      </c>
      <c r="C262" s="2" t="s">
        <v>27</v>
      </c>
      <c r="D262" s="2" t="s">
        <v>18</v>
      </c>
      <c r="E262" s="2">
        <v>14519.37</v>
      </c>
      <c r="F262" s="2">
        <v>3047.0</v>
      </c>
      <c r="G262" s="2">
        <v>0.135</v>
      </c>
      <c r="H262" s="2">
        <v>10.0</v>
      </c>
      <c r="I262" s="2">
        <v>90.3</v>
      </c>
      <c r="J262" s="2">
        <v>6.62</v>
      </c>
      <c r="K262" s="2">
        <v>0.0</v>
      </c>
      <c r="L262" s="2">
        <v>4.2</v>
      </c>
      <c r="M262" s="2">
        <v>528852.62</v>
      </c>
      <c r="N262" s="2">
        <v>68426.21</v>
      </c>
    </row>
    <row r="263" ht="15.75" customHeight="1">
      <c r="A263" s="2" t="s">
        <v>87</v>
      </c>
      <c r="B263" s="3">
        <v>45689.0</v>
      </c>
      <c r="C263" s="2" t="s">
        <v>27</v>
      </c>
      <c r="D263" s="2" t="s">
        <v>18</v>
      </c>
      <c r="E263" s="2">
        <v>43288.2</v>
      </c>
      <c r="F263" s="2">
        <v>4783.0</v>
      </c>
      <c r="G263" s="2">
        <v>0.169</v>
      </c>
      <c r="H263" s="2">
        <v>13.0</v>
      </c>
      <c r="I263" s="2">
        <v>87.3</v>
      </c>
      <c r="J263" s="2"/>
      <c r="K263" s="2">
        <v>0.0</v>
      </c>
      <c r="L263" s="2">
        <v>4.2</v>
      </c>
      <c r="M263" s="2">
        <v>605751.33</v>
      </c>
      <c r="N263" s="2">
        <v>60685.53</v>
      </c>
    </row>
    <row r="264" ht="15.75" customHeight="1">
      <c r="A264" s="2" t="s">
        <v>87</v>
      </c>
      <c r="B264" s="3">
        <v>45717.0</v>
      </c>
      <c r="C264" s="2" t="s">
        <v>27</v>
      </c>
      <c r="D264" s="2" t="s">
        <v>18</v>
      </c>
      <c r="E264" s="2">
        <v>51450.55</v>
      </c>
      <c r="F264" s="2">
        <v>4902.0</v>
      </c>
      <c r="G264" s="2">
        <v>0.086</v>
      </c>
      <c r="H264" s="2">
        <v>11.0</v>
      </c>
      <c r="I264" s="2">
        <v>83.7</v>
      </c>
      <c r="J264" s="2">
        <v>6.92</v>
      </c>
      <c r="K264" s="2">
        <v>1.0</v>
      </c>
      <c r="L264" s="2">
        <v>4.2</v>
      </c>
      <c r="M264" s="2">
        <v>677640.65</v>
      </c>
      <c r="N264" s="2">
        <v>111610.89</v>
      </c>
    </row>
    <row r="265" ht="15.75" customHeight="1">
      <c r="A265" s="2" t="s">
        <v>87</v>
      </c>
      <c r="B265" s="3">
        <v>45748.0</v>
      </c>
      <c r="C265" s="2" t="s">
        <v>27</v>
      </c>
      <c r="D265" s="2" t="s">
        <v>18</v>
      </c>
      <c r="E265" s="2">
        <v>58688.26</v>
      </c>
      <c r="F265" s="2">
        <v>4022.0</v>
      </c>
      <c r="G265" s="2">
        <v>0.217</v>
      </c>
      <c r="H265" s="2">
        <v>12.0</v>
      </c>
      <c r="I265" s="2">
        <v>93.8</v>
      </c>
      <c r="J265" s="2">
        <v>11.78</v>
      </c>
      <c r="K265" s="2">
        <v>0.0</v>
      </c>
      <c r="L265" s="2">
        <v>3.7</v>
      </c>
      <c r="M265" s="2">
        <v>636613.23</v>
      </c>
      <c r="N265" s="2">
        <v>78908.35</v>
      </c>
    </row>
    <row r="266" ht="15.75" customHeight="1">
      <c r="A266" s="2" t="s">
        <v>88</v>
      </c>
      <c r="B266" s="3">
        <v>45658.0</v>
      </c>
      <c r="C266" s="2" t="s">
        <v>15</v>
      </c>
      <c r="D266" s="2" t="s">
        <v>18</v>
      </c>
      <c r="E266" s="2">
        <v>58981.91</v>
      </c>
      <c r="F266" s="2">
        <v>7324.0</v>
      </c>
      <c r="G266" s="2">
        <v>0.094</v>
      </c>
      <c r="H266" s="2">
        <v>15.0</v>
      </c>
      <c r="I266" s="2">
        <v>95.8</v>
      </c>
      <c r="J266" s="2">
        <v>0.5</v>
      </c>
      <c r="K266" s="2">
        <v>0.0</v>
      </c>
      <c r="L266" s="2">
        <v>3.5</v>
      </c>
      <c r="M266" s="2">
        <v>708985.19</v>
      </c>
      <c r="N266" s="2">
        <v>125368.16</v>
      </c>
    </row>
    <row r="267" ht="15.75" customHeight="1">
      <c r="A267" s="2" t="s">
        <v>88</v>
      </c>
      <c r="B267" s="3">
        <v>45689.0</v>
      </c>
      <c r="C267" s="2" t="s">
        <v>15</v>
      </c>
      <c r="D267" s="2" t="s">
        <v>18</v>
      </c>
      <c r="E267" s="2">
        <v>73454.54</v>
      </c>
      <c r="F267" s="2">
        <v>8129.0</v>
      </c>
      <c r="G267" s="2">
        <v>0.211</v>
      </c>
      <c r="H267" s="2">
        <v>20.0</v>
      </c>
      <c r="I267" s="2">
        <v>85.2</v>
      </c>
      <c r="J267" s="2">
        <v>0.88</v>
      </c>
      <c r="K267" s="2">
        <v>0.0</v>
      </c>
      <c r="L267" s="2">
        <v>3.7</v>
      </c>
      <c r="M267" s="2">
        <v>767792.94</v>
      </c>
      <c r="N267" s="2">
        <v>96235.77</v>
      </c>
    </row>
    <row r="268" ht="15.75" customHeight="1">
      <c r="A268" s="2" t="s">
        <v>88</v>
      </c>
      <c r="B268" s="3">
        <v>45717.0</v>
      </c>
      <c r="C268" s="2" t="s">
        <v>15</v>
      </c>
      <c r="D268" s="2" t="s">
        <v>18</v>
      </c>
      <c r="E268" s="2">
        <v>56602.39</v>
      </c>
      <c r="F268" s="2">
        <v>7969.0</v>
      </c>
      <c r="G268" s="2">
        <v>0.17</v>
      </c>
      <c r="H268" s="2">
        <v>21.0</v>
      </c>
      <c r="I268" s="2">
        <v>88.3</v>
      </c>
      <c r="J268" s="2">
        <v>2.25</v>
      </c>
      <c r="K268" s="2">
        <v>0.0</v>
      </c>
      <c r="L268" s="2">
        <v>3.7</v>
      </c>
      <c r="M268" s="2">
        <v>745580.51</v>
      </c>
      <c r="N268" s="2">
        <v>116273.68</v>
      </c>
    </row>
    <row r="269" ht="15.75" customHeight="1">
      <c r="A269" s="2" t="s">
        <v>88</v>
      </c>
      <c r="B269" s="3">
        <v>45748.0</v>
      </c>
      <c r="C269" s="2" t="s">
        <v>15</v>
      </c>
      <c r="D269" s="2" t="s">
        <v>18</v>
      </c>
      <c r="E269" s="2">
        <v>67722.29</v>
      </c>
      <c r="F269" s="2">
        <v>7240.0</v>
      </c>
      <c r="G269" s="2">
        <v>0.026</v>
      </c>
      <c r="H269" s="2">
        <v>15.0</v>
      </c>
      <c r="I269" s="2">
        <v>92.9</v>
      </c>
      <c r="J269" s="2">
        <v>0.29</v>
      </c>
      <c r="K269" s="2">
        <v>0.0</v>
      </c>
      <c r="L269" s="2">
        <v>3.5</v>
      </c>
      <c r="M269" s="2">
        <v>762328.31</v>
      </c>
      <c r="N269" s="2">
        <v>159158.19</v>
      </c>
    </row>
    <row r="270" ht="15.75" customHeight="1">
      <c r="A270" s="2" t="s">
        <v>89</v>
      </c>
      <c r="B270" s="3">
        <v>45658.0</v>
      </c>
      <c r="C270" s="2" t="s">
        <v>15</v>
      </c>
      <c r="D270" s="2" t="s">
        <v>28</v>
      </c>
      <c r="E270" s="2">
        <v>48752.92</v>
      </c>
      <c r="F270" s="2">
        <v>8052.0</v>
      </c>
      <c r="G270" s="2">
        <v>0.106</v>
      </c>
      <c r="H270" s="2">
        <v>16.0</v>
      </c>
      <c r="I270" s="2">
        <v>94.9</v>
      </c>
      <c r="J270" s="2">
        <v>0.65</v>
      </c>
      <c r="K270" s="2">
        <v>0.0</v>
      </c>
      <c r="L270" s="2">
        <v>3.6</v>
      </c>
      <c r="M270" s="2">
        <v>660633.99</v>
      </c>
      <c r="N270" s="2">
        <v>118768.66</v>
      </c>
    </row>
    <row r="271" ht="15.75" customHeight="1">
      <c r="A271" s="2" t="s">
        <v>89</v>
      </c>
      <c r="B271" s="3">
        <v>45689.0</v>
      </c>
      <c r="C271" s="2" t="s">
        <v>15</v>
      </c>
      <c r="D271" s="2" t="s">
        <v>28</v>
      </c>
      <c r="E271" s="2">
        <v>23914.97</v>
      </c>
      <c r="F271" s="2">
        <v>8018.0</v>
      </c>
      <c r="G271" s="2">
        <v>0.139</v>
      </c>
      <c r="H271" s="2">
        <v>20.0</v>
      </c>
      <c r="I271" s="2">
        <v>89.0</v>
      </c>
      <c r="J271" s="2">
        <v>0.2</v>
      </c>
      <c r="K271" s="2">
        <v>0.0</v>
      </c>
      <c r="L271" s="2">
        <v>3.5</v>
      </c>
      <c r="M271" s="2">
        <v>739374.56</v>
      </c>
      <c r="N271" s="2">
        <v>121032.29</v>
      </c>
    </row>
    <row r="272" ht="15.75" customHeight="1">
      <c r="A272" s="2" t="s">
        <v>89</v>
      </c>
      <c r="B272" s="3">
        <v>45717.0</v>
      </c>
      <c r="C272" s="2" t="s">
        <v>15</v>
      </c>
      <c r="D272" s="2" t="s">
        <v>28</v>
      </c>
      <c r="E272" s="2">
        <v>61995.3</v>
      </c>
      <c r="F272" s="2">
        <v>10192.0</v>
      </c>
      <c r="G272" s="2">
        <v>0.198</v>
      </c>
      <c r="H272" s="2">
        <v>21.0</v>
      </c>
      <c r="I272" s="2">
        <v>87.6</v>
      </c>
      <c r="J272" s="2">
        <v>3.63</v>
      </c>
      <c r="K272" s="2">
        <v>1.0</v>
      </c>
      <c r="L272" s="2">
        <v>3.8</v>
      </c>
      <c r="M272" s="2">
        <v>799756.46</v>
      </c>
      <c r="N272" s="2">
        <v>105052.93</v>
      </c>
    </row>
    <row r="273" ht="15.75" customHeight="1">
      <c r="A273" s="2" t="s">
        <v>89</v>
      </c>
      <c r="B273" s="3">
        <v>45748.0</v>
      </c>
      <c r="C273" s="2" t="s">
        <v>15</v>
      </c>
      <c r="D273" s="2" t="s">
        <v>28</v>
      </c>
      <c r="E273" s="2">
        <v>29344.93</v>
      </c>
      <c r="F273" s="2">
        <v>7446.0</v>
      </c>
      <c r="G273" s="2">
        <v>0.111</v>
      </c>
      <c r="H273" s="2">
        <v>15.0</v>
      </c>
      <c r="I273" s="2">
        <v>86.2</v>
      </c>
      <c r="J273" s="2">
        <v>0.2</v>
      </c>
      <c r="K273" s="2">
        <v>0.0</v>
      </c>
      <c r="L273" s="2">
        <v>3.2</v>
      </c>
      <c r="M273" s="2">
        <v>593343.0</v>
      </c>
      <c r="N273" s="2">
        <v>82832.24</v>
      </c>
    </row>
    <row r="274" ht="15.75" customHeight="1">
      <c r="A274" s="2" t="s">
        <v>90</v>
      </c>
      <c r="B274" s="3">
        <v>45658.0</v>
      </c>
      <c r="C274" s="2" t="s">
        <v>27</v>
      </c>
      <c r="D274" s="2" t="s">
        <v>18</v>
      </c>
      <c r="E274" s="2">
        <v>50532.17</v>
      </c>
      <c r="F274" s="2">
        <v>5689.0</v>
      </c>
      <c r="G274" s="2">
        <v>0.052</v>
      </c>
      <c r="H274" s="2">
        <v>17.0</v>
      </c>
      <c r="I274" s="2">
        <v>85.6</v>
      </c>
      <c r="J274" s="2">
        <v>6.23</v>
      </c>
      <c r="K274" s="2">
        <v>0.0</v>
      </c>
      <c r="L274" s="2">
        <v>3.3</v>
      </c>
      <c r="M274" s="2">
        <v>645039.97</v>
      </c>
      <c r="N274" s="2">
        <v>83093.33</v>
      </c>
    </row>
    <row r="275" ht="15.75" customHeight="1">
      <c r="A275" s="2" t="s">
        <v>90</v>
      </c>
      <c r="B275" s="3">
        <v>45689.0</v>
      </c>
      <c r="C275" s="2" t="s">
        <v>27</v>
      </c>
      <c r="D275" s="2" t="s">
        <v>18</v>
      </c>
      <c r="E275" s="2">
        <v>17562.57</v>
      </c>
      <c r="F275" s="2">
        <v>3326.0</v>
      </c>
      <c r="G275" s="2">
        <v>0.153</v>
      </c>
      <c r="H275" s="2">
        <v>14.0</v>
      </c>
      <c r="I275" s="2">
        <v>88.1</v>
      </c>
      <c r="J275" s="2">
        <v>1.04</v>
      </c>
      <c r="K275" s="2">
        <v>0.0</v>
      </c>
      <c r="L275" s="2">
        <v>3.1</v>
      </c>
      <c r="M275" s="2">
        <v>561597.33</v>
      </c>
      <c r="N275" s="2">
        <v>75072.75</v>
      </c>
    </row>
    <row r="276" ht="15.75" customHeight="1">
      <c r="A276" s="2" t="s">
        <v>90</v>
      </c>
      <c r="B276" s="3">
        <v>45717.0</v>
      </c>
      <c r="C276" s="2" t="s">
        <v>27</v>
      </c>
      <c r="D276" s="2" t="s">
        <v>18</v>
      </c>
      <c r="E276" s="2">
        <v>47648.71</v>
      </c>
      <c r="F276" s="2">
        <v>5767.0</v>
      </c>
      <c r="G276" s="2">
        <v>0.141</v>
      </c>
      <c r="H276" s="2">
        <v>17.0</v>
      </c>
      <c r="I276" s="2">
        <v>89.8</v>
      </c>
      <c r="J276" s="2">
        <v>1.76</v>
      </c>
      <c r="K276" s="2">
        <v>0.0</v>
      </c>
      <c r="L276" s="2">
        <v>3.1</v>
      </c>
      <c r="M276" s="2">
        <v>635837.74</v>
      </c>
      <c r="N276" s="2">
        <v>114740.64</v>
      </c>
    </row>
    <row r="277" ht="15.75" customHeight="1">
      <c r="A277" s="2" t="s">
        <v>90</v>
      </c>
      <c r="B277" s="3">
        <v>45748.0</v>
      </c>
      <c r="C277" s="2" t="s">
        <v>27</v>
      </c>
      <c r="D277" s="2" t="s">
        <v>18</v>
      </c>
      <c r="E277" s="2">
        <v>38297.58</v>
      </c>
      <c r="F277" s="2">
        <v>5893.0</v>
      </c>
      <c r="G277" s="2">
        <v>0.247</v>
      </c>
      <c r="H277" s="2">
        <v>18.0</v>
      </c>
      <c r="I277" s="2">
        <v>77.6</v>
      </c>
      <c r="J277" s="2">
        <v>2.86</v>
      </c>
      <c r="K277" s="2">
        <v>0.0</v>
      </c>
      <c r="L277" s="2">
        <v>3.0</v>
      </c>
      <c r="M277" s="2">
        <v>686737.87</v>
      </c>
      <c r="N277" s="2">
        <v>83839.67</v>
      </c>
    </row>
    <row r="278" ht="15.75" customHeight="1">
      <c r="A278" s="2" t="s">
        <v>91</v>
      </c>
      <c r="B278" s="3">
        <v>45658.0</v>
      </c>
      <c r="C278" s="2" t="s">
        <v>24</v>
      </c>
      <c r="D278" s="2" t="s">
        <v>16</v>
      </c>
      <c r="E278" s="2">
        <v>61784.11</v>
      </c>
      <c r="F278" s="2">
        <v>8564.0</v>
      </c>
      <c r="G278" s="2">
        <v>0.13</v>
      </c>
      <c r="H278" s="2">
        <v>17.0</v>
      </c>
      <c r="I278" s="2">
        <v>87.4</v>
      </c>
      <c r="J278" s="2">
        <v>18.14</v>
      </c>
      <c r="K278" s="2">
        <v>1.0</v>
      </c>
      <c r="L278" s="2">
        <v>3.4</v>
      </c>
      <c r="M278" s="2">
        <v>673076.34</v>
      </c>
      <c r="N278" s="2">
        <v>93899.76</v>
      </c>
    </row>
    <row r="279" ht="15.75" customHeight="1">
      <c r="A279" s="2" t="s">
        <v>91</v>
      </c>
      <c r="B279" s="3">
        <v>45689.0</v>
      </c>
      <c r="C279" s="2" t="s">
        <v>24</v>
      </c>
      <c r="D279" s="2" t="s">
        <v>16</v>
      </c>
      <c r="E279" s="2">
        <v>36832.33</v>
      </c>
      <c r="F279" s="2">
        <v>8001.0</v>
      </c>
      <c r="G279" s="2">
        <v>0.0</v>
      </c>
      <c r="H279" s="2">
        <v>19.0</v>
      </c>
      <c r="I279" s="2">
        <v>88.7</v>
      </c>
      <c r="J279" s="2">
        <v>3.39</v>
      </c>
      <c r="K279" s="2">
        <v>0.0</v>
      </c>
      <c r="L279" s="2">
        <v>4.0</v>
      </c>
      <c r="M279" s="2">
        <v>738548.42</v>
      </c>
      <c r="N279" s="2">
        <v>134282.77</v>
      </c>
    </row>
    <row r="280" ht="15.75" customHeight="1">
      <c r="A280" s="2" t="s">
        <v>91</v>
      </c>
      <c r="B280" s="3">
        <v>45717.0</v>
      </c>
      <c r="C280" s="2" t="s">
        <v>24</v>
      </c>
      <c r="D280" s="2" t="s">
        <v>16</v>
      </c>
      <c r="E280" s="2">
        <v>48609.41</v>
      </c>
      <c r="F280" s="2">
        <v>9324.0</v>
      </c>
      <c r="G280" s="2">
        <v>0.213</v>
      </c>
      <c r="H280" s="2">
        <v>18.0</v>
      </c>
      <c r="I280" s="2">
        <v>86.5</v>
      </c>
      <c r="J280" s="2">
        <v>1.44</v>
      </c>
      <c r="K280" s="2">
        <v>0.0</v>
      </c>
      <c r="L280" s="2">
        <v>3.9</v>
      </c>
      <c r="M280" s="2">
        <v>756619.77</v>
      </c>
      <c r="N280" s="2">
        <v>112057.69</v>
      </c>
    </row>
    <row r="281" ht="15.75" customHeight="1">
      <c r="A281" s="2" t="s">
        <v>91</v>
      </c>
      <c r="B281" s="3">
        <v>45748.0</v>
      </c>
      <c r="C281" s="2" t="s">
        <v>24</v>
      </c>
      <c r="D281" s="2" t="s">
        <v>16</v>
      </c>
      <c r="E281" s="2">
        <v>70284.06</v>
      </c>
      <c r="F281" s="2">
        <v>9109.0</v>
      </c>
      <c r="G281" s="2">
        <v>0.004</v>
      </c>
      <c r="H281" s="2">
        <v>23.0</v>
      </c>
      <c r="I281" s="2">
        <v>87.0</v>
      </c>
      <c r="J281" s="2">
        <v>3.65</v>
      </c>
      <c r="K281" s="2">
        <v>0.0</v>
      </c>
      <c r="L281" s="2">
        <v>3.7</v>
      </c>
      <c r="M281" s="2">
        <v>761122.42</v>
      </c>
      <c r="N281" s="2">
        <v>149802.04</v>
      </c>
    </row>
    <row r="282" ht="15.75" customHeight="1">
      <c r="A282" s="2" t="s">
        <v>92</v>
      </c>
      <c r="B282" s="3">
        <v>45658.0</v>
      </c>
      <c r="C282" s="2" t="s">
        <v>24</v>
      </c>
      <c r="D282" s="2" t="s">
        <v>18</v>
      </c>
      <c r="E282" s="2">
        <v>45940.39</v>
      </c>
      <c r="F282" s="2">
        <v>4022.0</v>
      </c>
      <c r="G282" s="2">
        <v>0.069</v>
      </c>
      <c r="H282" s="2">
        <v>10.0</v>
      </c>
      <c r="I282" s="2">
        <v>83.0</v>
      </c>
      <c r="J282" s="2">
        <v>1.23</v>
      </c>
      <c r="K282" s="2">
        <v>1.0</v>
      </c>
      <c r="L282" s="2">
        <v>3.8</v>
      </c>
      <c r="M282" s="2">
        <v>524899.57</v>
      </c>
      <c r="N282" s="2">
        <v>63619.98</v>
      </c>
    </row>
    <row r="283" ht="15.75" customHeight="1">
      <c r="A283" s="2" t="s">
        <v>92</v>
      </c>
      <c r="B283" s="3">
        <v>45689.0</v>
      </c>
      <c r="C283" s="2" t="s">
        <v>24</v>
      </c>
      <c r="D283" s="2" t="s">
        <v>18</v>
      </c>
      <c r="E283" s="2">
        <v>34771.26</v>
      </c>
      <c r="F283" s="2">
        <v>4355.0</v>
      </c>
      <c r="G283" s="2">
        <v>0.051</v>
      </c>
      <c r="H283" s="2">
        <v>15.0</v>
      </c>
      <c r="I283" s="2">
        <v>87.9</v>
      </c>
      <c r="J283" s="2">
        <v>3.09</v>
      </c>
      <c r="K283" s="2">
        <v>0.0</v>
      </c>
      <c r="L283" s="2">
        <v>4.0</v>
      </c>
      <c r="M283" s="2">
        <v>555557.77</v>
      </c>
      <c r="N283" s="2">
        <v>86475.51</v>
      </c>
    </row>
    <row r="284" ht="15.75" customHeight="1">
      <c r="A284" s="2" t="s">
        <v>92</v>
      </c>
      <c r="B284" s="3">
        <v>45717.0</v>
      </c>
      <c r="C284" s="2" t="s">
        <v>24</v>
      </c>
      <c r="D284" s="2" t="s">
        <v>18</v>
      </c>
      <c r="E284" s="2">
        <v>66104.19</v>
      </c>
      <c r="F284" s="2">
        <v>5745.0</v>
      </c>
      <c r="G284" s="2">
        <v>0.07</v>
      </c>
      <c r="H284" s="2">
        <v>17.0</v>
      </c>
      <c r="I284" s="2">
        <v>95.8</v>
      </c>
      <c r="J284" s="2">
        <v>3.15</v>
      </c>
      <c r="K284" s="2">
        <v>0.0</v>
      </c>
      <c r="L284" s="2">
        <v>4.0</v>
      </c>
      <c r="M284" s="2">
        <v>714083.68</v>
      </c>
      <c r="N284" s="2">
        <v>127231.74</v>
      </c>
    </row>
    <row r="285" ht="15.75" customHeight="1">
      <c r="A285" s="2" t="s">
        <v>92</v>
      </c>
      <c r="B285" s="3">
        <v>45748.0</v>
      </c>
      <c r="C285" s="2" t="s">
        <v>24</v>
      </c>
      <c r="D285" s="2" t="s">
        <v>18</v>
      </c>
      <c r="E285" s="2">
        <v>18599.21</v>
      </c>
      <c r="F285" s="2">
        <v>3027.0</v>
      </c>
      <c r="G285" s="2">
        <v>0.122</v>
      </c>
      <c r="H285" s="2">
        <v>11.0</v>
      </c>
      <c r="I285" s="2">
        <v>80.9</v>
      </c>
      <c r="J285" s="2">
        <v>6.44</v>
      </c>
      <c r="K285" s="2">
        <v>0.0</v>
      </c>
      <c r="L285" s="2">
        <v>4.2</v>
      </c>
      <c r="M285" s="2">
        <v>497439.82</v>
      </c>
      <c r="N285" s="2">
        <v>93372.75</v>
      </c>
    </row>
    <row r="286" ht="15.75" customHeight="1">
      <c r="A286" s="2" t="s">
        <v>93</v>
      </c>
      <c r="B286" s="3">
        <v>45658.0</v>
      </c>
      <c r="C286" s="2" t="s">
        <v>27</v>
      </c>
      <c r="D286" s="2" t="s">
        <v>16</v>
      </c>
      <c r="E286" s="2">
        <v>60183.06</v>
      </c>
      <c r="F286" s="2">
        <v>5562.0</v>
      </c>
      <c r="G286" s="2">
        <v>0.009</v>
      </c>
      <c r="H286" s="2">
        <v>13.0</v>
      </c>
      <c r="I286" s="2">
        <v>86.3</v>
      </c>
      <c r="J286" s="2">
        <v>0.2</v>
      </c>
      <c r="K286" s="2">
        <v>1.0</v>
      </c>
      <c r="L286" s="2">
        <v>4.5</v>
      </c>
      <c r="M286" s="2">
        <v>636775.66</v>
      </c>
      <c r="N286" s="2">
        <v>122636.86</v>
      </c>
    </row>
    <row r="287" ht="15.75" customHeight="1">
      <c r="A287" s="2" t="s">
        <v>93</v>
      </c>
      <c r="B287" s="3">
        <v>45689.0</v>
      </c>
      <c r="C287" s="2" t="s">
        <v>27</v>
      </c>
      <c r="D287" s="2" t="s">
        <v>16</v>
      </c>
      <c r="E287" s="2">
        <v>74539.14</v>
      </c>
      <c r="F287" s="2">
        <v>4487.0</v>
      </c>
      <c r="G287" s="2">
        <v>0.14</v>
      </c>
      <c r="H287" s="2">
        <v>10.0</v>
      </c>
      <c r="I287" s="2">
        <v>90.4</v>
      </c>
      <c r="J287" s="2">
        <v>0.59</v>
      </c>
      <c r="K287" s="2">
        <v>0.0</v>
      </c>
      <c r="L287" s="2">
        <v>4.5</v>
      </c>
      <c r="M287" s="2">
        <v>633009.53</v>
      </c>
      <c r="N287" s="2">
        <v>123782.67</v>
      </c>
    </row>
    <row r="288" ht="15.75" customHeight="1">
      <c r="A288" s="2" t="s">
        <v>93</v>
      </c>
      <c r="B288" s="3">
        <v>45717.0</v>
      </c>
      <c r="C288" s="2" t="s">
        <v>27</v>
      </c>
      <c r="D288" s="2" t="s">
        <v>16</v>
      </c>
      <c r="E288" s="2">
        <v>55371.97</v>
      </c>
      <c r="F288" s="2">
        <v>4162.0</v>
      </c>
      <c r="G288" s="2">
        <v>0.183</v>
      </c>
      <c r="H288" s="2">
        <v>11.0</v>
      </c>
      <c r="I288" s="2">
        <v>92.0</v>
      </c>
      <c r="J288" s="2">
        <v>0.2</v>
      </c>
      <c r="K288" s="2">
        <v>1.0</v>
      </c>
      <c r="L288" s="2">
        <v>4.2</v>
      </c>
      <c r="M288" s="2">
        <v>609949.0</v>
      </c>
      <c r="N288" s="2">
        <v>126789.25</v>
      </c>
    </row>
    <row r="289" ht="15.75" customHeight="1">
      <c r="A289" s="2" t="s">
        <v>93</v>
      </c>
      <c r="B289" s="3">
        <v>45748.0</v>
      </c>
      <c r="C289" s="2" t="s">
        <v>27</v>
      </c>
      <c r="D289" s="2" t="s">
        <v>16</v>
      </c>
      <c r="E289" s="2">
        <v>40928.69</v>
      </c>
      <c r="F289" s="2">
        <v>4094.0</v>
      </c>
      <c r="G289" s="2">
        <v>0.174</v>
      </c>
      <c r="H289" s="2">
        <v>13.0</v>
      </c>
      <c r="I289" s="2">
        <v>82.4</v>
      </c>
      <c r="J289" s="2">
        <v>1.36</v>
      </c>
      <c r="K289" s="2">
        <v>0.0</v>
      </c>
      <c r="L289" s="2">
        <v>4.8</v>
      </c>
      <c r="M289" s="2">
        <v>548103.7</v>
      </c>
      <c r="N289" s="2">
        <v>99905.52</v>
      </c>
    </row>
    <row r="290" ht="15.75" customHeight="1">
      <c r="A290" s="2" t="s">
        <v>94</v>
      </c>
      <c r="B290" s="3">
        <v>45658.0</v>
      </c>
      <c r="C290" s="2" t="s">
        <v>15</v>
      </c>
      <c r="D290" s="2" t="s">
        <v>16</v>
      </c>
      <c r="E290" s="2">
        <v>70012.41</v>
      </c>
      <c r="F290" s="2">
        <v>8484.0</v>
      </c>
      <c r="G290" s="2">
        <v>0.273</v>
      </c>
      <c r="H290" s="2">
        <v>23.0</v>
      </c>
      <c r="I290" s="2">
        <v>72.9</v>
      </c>
      <c r="J290" s="2">
        <v>3.34</v>
      </c>
      <c r="K290" s="2">
        <v>0.0</v>
      </c>
      <c r="L290" s="2">
        <v>3.7</v>
      </c>
      <c r="M290" s="2">
        <v>729424.42</v>
      </c>
      <c r="N290" s="2">
        <v>75592.28</v>
      </c>
    </row>
    <row r="291" ht="15.75" customHeight="1">
      <c r="A291" s="2" t="s">
        <v>94</v>
      </c>
      <c r="B291" s="3">
        <v>45689.0</v>
      </c>
      <c r="C291" s="2" t="s">
        <v>15</v>
      </c>
      <c r="D291" s="2" t="s">
        <v>16</v>
      </c>
      <c r="E291" s="2">
        <v>68909.26</v>
      </c>
      <c r="F291" s="2">
        <v>7794.0</v>
      </c>
      <c r="G291" s="2">
        <v>0.284</v>
      </c>
      <c r="H291" s="2">
        <v>22.0</v>
      </c>
      <c r="I291" s="2">
        <v>89.0</v>
      </c>
      <c r="J291" s="2">
        <v>0.33</v>
      </c>
      <c r="K291" s="2">
        <v>0.0</v>
      </c>
      <c r="L291" s="2">
        <v>4.0</v>
      </c>
      <c r="M291" s="2">
        <v>696261.49</v>
      </c>
      <c r="N291" s="2">
        <v>72455.35</v>
      </c>
    </row>
    <row r="292" ht="15.75" customHeight="1">
      <c r="A292" s="2" t="s">
        <v>94</v>
      </c>
      <c r="B292" s="3">
        <v>45717.0</v>
      </c>
      <c r="C292" s="2" t="s">
        <v>15</v>
      </c>
      <c r="D292" s="2" t="s">
        <v>16</v>
      </c>
      <c r="E292" s="2">
        <v>56737.3</v>
      </c>
      <c r="F292" s="2">
        <v>8300.0</v>
      </c>
      <c r="G292" s="2">
        <v>0.032</v>
      </c>
      <c r="H292" s="2">
        <v>21.0</v>
      </c>
      <c r="I292" s="2">
        <v>83.2</v>
      </c>
      <c r="J292" s="2">
        <v>3.44</v>
      </c>
      <c r="K292" s="2">
        <v>1.0</v>
      </c>
      <c r="L292" s="2">
        <v>4.3</v>
      </c>
      <c r="M292" s="2">
        <v>813316.71</v>
      </c>
      <c r="N292" s="2">
        <v>110077.42</v>
      </c>
    </row>
    <row r="293" ht="15.75" customHeight="1">
      <c r="A293" s="2" t="s">
        <v>94</v>
      </c>
      <c r="B293" s="3">
        <v>45748.0</v>
      </c>
      <c r="C293" s="2" t="s">
        <v>15</v>
      </c>
      <c r="D293" s="2" t="s">
        <v>16</v>
      </c>
      <c r="E293" s="2">
        <v>54080.91</v>
      </c>
      <c r="F293" s="2">
        <v>7083.0</v>
      </c>
      <c r="G293" s="2">
        <v>0.0</v>
      </c>
      <c r="H293" s="2">
        <v>15.0</v>
      </c>
      <c r="I293" s="2">
        <v>97.0</v>
      </c>
      <c r="J293" s="2">
        <v>5.33</v>
      </c>
      <c r="K293" s="2">
        <v>0.0</v>
      </c>
      <c r="L293" s="2">
        <v>4.1</v>
      </c>
      <c r="M293" s="2">
        <v>702068.92</v>
      </c>
      <c r="N293" s="2">
        <v>111266.63</v>
      </c>
    </row>
    <row r="294" ht="15.75" customHeight="1">
      <c r="A294" s="2" t="s">
        <v>95</v>
      </c>
      <c r="B294" s="3">
        <v>45658.0</v>
      </c>
      <c r="C294" s="2" t="s">
        <v>27</v>
      </c>
      <c r="D294" s="2" t="s">
        <v>18</v>
      </c>
      <c r="E294" s="2">
        <v>51996.32</v>
      </c>
      <c r="F294" s="2">
        <v>3834.0</v>
      </c>
      <c r="G294" s="2">
        <v>0.096</v>
      </c>
      <c r="H294" s="2">
        <v>8.0</v>
      </c>
      <c r="I294" s="2">
        <v>86.7</v>
      </c>
      <c r="J294" s="2">
        <v>6.04</v>
      </c>
      <c r="K294" s="2">
        <v>0.0</v>
      </c>
      <c r="L294" s="2">
        <v>4.5</v>
      </c>
      <c r="M294" s="2">
        <v>546223.7</v>
      </c>
      <c r="N294" s="2">
        <v>100769.17</v>
      </c>
    </row>
    <row r="295" ht="15.75" customHeight="1">
      <c r="A295" s="2" t="s">
        <v>95</v>
      </c>
      <c r="B295" s="3">
        <v>45689.0</v>
      </c>
      <c r="C295" s="2" t="s">
        <v>27</v>
      </c>
      <c r="D295" s="2" t="s">
        <v>18</v>
      </c>
      <c r="E295" s="2">
        <v>40102.88</v>
      </c>
      <c r="F295" s="2">
        <v>2358.0</v>
      </c>
      <c r="G295" s="2">
        <v>0.119</v>
      </c>
      <c r="H295" s="2">
        <v>9.0</v>
      </c>
      <c r="I295" s="2">
        <v>88.7</v>
      </c>
      <c r="J295" s="2">
        <v>1.6</v>
      </c>
      <c r="K295" s="2">
        <v>0.0</v>
      </c>
      <c r="L295" s="2">
        <v>4.2</v>
      </c>
      <c r="M295" s="2">
        <v>533121.26</v>
      </c>
      <c r="N295" s="2">
        <v>55063.39</v>
      </c>
    </row>
    <row r="296" ht="15.75" customHeight="1">
      <c r="A296" s="2" t="s">
        <v>95</v>
      </c>
      <c r="B296" s="3">
        <v>45717.0</v>
      </c>
      <c r="C296" s="2" t="s">
        <v>27</v>
      </c>
      <c r="D296" s="2" t="s">
        <v>18</v>
      </c>
      <c r="E296" s="2">
        <v>59825.51</v>
      </c>
      <c r="F296" s="2">
        <v>1231.0</v>
      </c>
      <c r="G296" s="2">
        <v>0.214</v>
      </c>
      <c r="H296" s="2">
        <v>10.0</v>
      </c>
      <c r="I296" s="2">
        <v>84.8</v>
      </c>
      <c r="J296" s="2">
        <v>8.96</v>
      </c>
      <c r="K296" s="2">
        <v>0.0</v>
      </c>
      <c r="L296" s="2">
        <v>4.7</v>
      </c>
      <c r="M296" s="2">
        <v>498970.32</v>
      </c>
      <c r="N296" s="2">
        <v>69656.7</v>
      </c>
    </row>
    <row r="297" ht="15.75" customHeight="1">
      <c r="A297" s="2" t="s">
        <v>95</v>
      </c>
      <c r="B297" s="3">
        <v>45748.0</v>
      </c>
      <c r="C297" s="2" t="s">
        <v>27</v>
      </c>
      <c r="D297" s="2" t="s">
        <v>18</v>
      </c>
      <c r="E297" s="2">
        <v>27398.28</v>
      </c>
      <c r="F297" s="2">
        <v>1723.0</v>
      </c>
      <c r="G297" s="2">
        <v>0.171</v>
      </c>
      <c r="H297" s="2">
        <v>9.0</v>
      </c>
      <c r="I297" s="2">
        <v>81.0</v>
      </c>
      <c r="J297" s="2">
        <v>0.74</v>
      </c>
      <c r="K297" s="2">
        <v>0.0</v>
      </c>
      <c r="L297" s="2">
        <v>4.6</v>
      </c>
      <c r="M297" s="2">
        <v>487738.26</v>
      </c>
      <c r="N297" s="2">
        <v>96435.6</v>
      </c>
    </row>
    <row r="298" ht="15.75" customHeight="1">
      <c r="A298" s="2" t="s">
        <v>96</v>
      </c>
      <c r="B298" s="3">
        <v>45658.0</v>
      </c>
      <c r="C298" s="2" t="s">
        <v>27</v>
      </c>
      <c r="D298" s="2" t="s">
        <v>18</v>
      </c>
      <c r="E298" s="2">
        <v>55599.56</v>
      </c>
      <c r="F298" s="2">
        <v>5896.0</v>
      </c>
      <c r="G298" s="2">
        <v>0.036</v>
      </c>
      <c r="H298" s="2">
        <v>12.0</v>
      </c>
      <c r="I298" s="2">
        <v>93.1</v>
      </c>
      <c r="J298" s="2">
        <v>6.13</v>
      </c>
      <c r="K298" s="2">
        <v>0.0</v>
      </c>
      <c r="L298" s="2">
        <v>3.3</v>
      </c>
      <c r="M298" s="2">
        <v>668459.37</v>
      </c>
      <c r="N298" s="2">
        <v>126435.42</v>
      </c>
    </row>
    <row r="299" ht="15.75" customHeight="1">
      <c r="A299" s="2" t="s">
        <v>96</v>
      </c>
      <c r="B299" s="3">
        <v>45689.0</v>
      </c>
      <c r="C299" s="2" t="s">
        <v>27</v>
      </c>
      <c r="D299" s="2" t="s">
        <v>18</v>
      </c>
      <c r="E299" s="2">
        <v>55477.61</v>
      </c>
      <c r="F299" s="2">
        <v>5903.0</v>
      </c>
      <c r="G299" s="2">
        <v>0.102</v>
      </c>
      <c r="H299" s="2">
        <v>14.0</v>
      </c>
      <c r="I299" s="2">
        <v>96.2</v>
      </c>
      <c r="J299" s="2">
        <v>1.41</v>
      </c>
      <c r="K299" s="2">
        <v>0.0</v>
      </c>
      <c r="L299" s="2">
        <v>3.3</v>
      </c>
      <c r="M299" s="2">
        <v>763162.45</v>
      </c>
      <c r="N299" s="2">
        <v>162524.05</v>
      </c>
    </row>
    <row r="300" ht="15.75" customHeight="1">
      <c r="A300" s="2" t="s">
        <v>96</v>
      </c>
      <c r="B300" s="3">
        <v>45717.0</v>
      </c>
      <c r="C300" s="2" t="s">
        <v>27</v>
      </c>
      <c r="D300" s="2" t="s">
        <v>18</v>
      </c>
      <c r="E300" s="2">
        <v>46174.7</v>
      </c>
      <c r="F300" s="2">
        <v>4898.0</v>
      </c>
      <c r="G300" s="2">
        <v>0.114</v>
      </c>
      <c r="H300" s="2">
        <v>11.0</v>
      </c>
      <c r="I300" s="2">
        <v>91.7</v>
      </c>
      <c r="J300" s="2">
        <v>3.75</v>
      </c>
      <c r="K300" s="2">
        <v>0.0</v>
      </c>
      <c r="L300" s="2">
        <v>3.1</v>
      </c>
      <c r="M300" s="2">
        <v>599017.33</v>
      </c>
      <c r="N300" s="2">
        <v>134009.92</v>
      </c>
    </row>
    <row r="301" ht="15.75" customHeight="1">
      <c r="A301" s="2" t="s">
        <v>96</v>
      </c>
      <c r="B301" s="3">
        <v>45748.0</v>
      </c>
      <c r="C301" s="2" t="s">
        <v>27</v>
      </c>
      <c r="D301" s="2" t="s">
        <v>18</v>
      </c>
      <c r="E301" s="2">
        <v>24362.98</v>
      </c>
      <c r="F301" s="2">
        <v>1462.0</v>
      </c>
      <c r="G301" s="2">
        <v>0.117</v>
      </c>
      <c r="H301" s="2">
        <v>6.0</v>
      </c>
      <c r="I301" s="2">
        <v>89.3</v>
      </c>
      <c r="J301" s="2">
        <v>15.06</v>
      </c>
      <c r="K301" s="2">
        <v>0.0</v>
      </c>
      <c r="L301" s="2">
        <v>3.2</v>
      </c>
      <c r="M301" s="2">
        <v>401582.58</v>
      </c>
      <c r="N301" s="2">
        <v>68454.93</v>
      </c>
    </row>
    <row r="302" ht="15.75" customHeight="1">
      <c r="A302" s="2" t="s">
        <v>97</v>
      </c>
      <c r="B302" s="3">
        <v>45658.0</v>
      </c>
      <c r="C302" s="2" t="s">
        <v>20</v>
      </c>
      <c r="D302" s="2" t="s">
        <v>28</v>
      </c>
      <c r="E302" s="2">
        <v>40647.67</v>
      </c>
      <c r="F302" s="2">
        <v>8252.0</v>
      </c>
      <c r="G302" s="2">
        <v>0.141</v>
      </c>
      <c r="H302" s="2">
        <v>22.0</v>
      </c>
      <c r="I302" s="2">
        <v>88.2</v>
      </c>
      <c r="J302" s="2">
        <v>5.07</v>
      </c>
      <c r="K302" s="2">
        <v>1.0</v>
      </c>
      <c r="L302" s="2">
        <v>4.1</v>
      </c>
      <c r="M302" s="2">
        <v>703812.99</v>
      </c>
      <c r="N302" s="2">
        <v>133577.98</v>
      </c>
    </row>
    <row r="303" ht="15.75" customHeight="1">
      <c r="A303" s="2" t="s">
        <v>97</v>
      </c>
      <c r="B303" s="3">
        <v>45689.0</v>
      </c>
      <c r="C303" s="2" t="s">
        <v>20</v>
      </c>
      <c r="D303" s="2" t="s">
        <v>28</v>
      </c>
      <c r="E303" s="2">
        <v>63986.98</v>
      </c>
      <c r="F303" s="2">
        <v>7989.0</v>
      </c>
      <c r="G303" s="2">
        <v>0.074</v>
      </c>
      <c r="H303" s="2">
        <v>20.0</v>
      </c>
      <c r="I303" s="2">
        <v>83.3</v>
      </c>
      <c r="J303" s="2">
        <v>3.6</v>
      </c>
      <c r="K303" s="2">
        <v>0.0</v>
      </c>
      <c r="L303" s="2">
        <v>3.7</v>
      </c>
      <c r="M303" s="2">
        <v>724346.73</v>
      </c>
      <c r="N303" s="2">
        <v>155013.91</v>
      </c>
    </row>
    <row r="304" ht="15.75" customHeight="1">
      <c r="A304" s="2" t="s">
        <v>97</v>
      </c>
      <c r="B304" s="3">
        <v>45717.0</v>
      </c>
      <c r="C304" s="2" t="s">
        <v>20</v>
      </c>
      <c r="D304" s="2" t="s">
        <v>28</v>
      </c>
      <c r="E304" s="2">
        <v>52843.75</v>
      </c>
      <c r="F304" s="2">
        <v>8268.0</v>
      </c>
      <c r="G304" s="2">
        <v>0.138</v>
      </c>
      <c r="H304" s="2">
        <v>19.0</v>
      </c>
      <c r="I304" s="2">
        <v>87.3</v>
      </c>
      <c r="J304" s="2">
        <v>4.39</v>
      </c>
      <c r="K304" s="2">
        <v>1.0</v>
      </c>
      <c r="L304" s="2">
        <v>4.7</v>
      </c>
      <c r="M304" s="2">
        <v>730890.01</v>
      </c>
      <c r="N304" s="2">
        <v>105502.56</v>
      </c>
    </row>
    <row r="305" ht="15.75" customHeight="1">
      <c r="A305" s="2" t="s">
        <v>97</v>
      </c>
      <c r="B305" s="3">
        <v>45748.0</v>
      </c>
      <c r="C305" s="2" t="s">
        <v>20</v>
      </c>
      <c r="D305" s="2" t="s">
        <v>28</v>
      </c>
      <c r="E305" s="2">
        <v>31997.25</v>
      </c>
      <c r="F305" s="2">
        <v>8183.0</v>
      </c>
      <c r="G305" s="2">
        <v>0.198</v>
      </c>
      <c r="H305" s="2">
        <v>18.0</v>
      </c>
      <c r="I305" s="2">
        <v>93.0</v>
      </c>
      <c r="J305" s="2">
        <v>2.79</v>
      </c>
      <c r="K305" s="2">
        <v>0.0</v>
      </c>
      <c r="L305" s="2">
        <v>4.2</v>
      </c>
      <c r="M305" s="2">
        <v>780580.95</v>
      </c>
      <c r="N305" s="2">
        <v>138144.46</v>
      </c>
    </row>
    <row r="306" ht="15.75" customHeight="1">
      <c r="A306" s="2" t="s">
        <v>98</v>
      </c>
      <c r="B306" s="3">
        <v>45658.0</v>
      </c>
      <c r="C306" s="2" t="s">
        <v>24</v>
      </c>
      <c r="D306" s="2" t="s">
        <v>16</v>
      </c>
      <c r="E306" s="2">
        <v>54948.02</v>
      </c>
      <c r="F306" s="2">
        <v>6534.0</v>
      </c>
      <c r="G306" s="2">
        <v>0.183</v>
      </c>
      <c r="H306" s="2">
        <v>14.0</v>
      </c>
      <c r="I306" s="2">
        <v>94.5</v>
      </c>
      <c r="J306" s="2">
        <v>1.56</v>
      </c>
      <c r="K306" s="2">
        <v>0.0</v>
      </c>
      <c r="L306" s="2">
        <v>4.0</v>
      </c>
      <c r="M306" s="2">
        <v>727957.48</v>
      </c>
      <c r="N306" s="2">
        <v>74805.23</v>
      </c>
    </row>
    <row r="307" ht="15.75" customHeight="1">
      <c r="A307" s="2" t="s">
        <v>98</v>
      </c>
      <c r="B307" s="3">
        <v>45689.0</v>
      </c>
      <c r="C307" s="2" t="s">
        <v>24</v>
      </c>
      <c r="D307" s="2" t="s">
        <v>16</v>
      </c>
      <c r="E307" s="2">
        <v>46146.24</v>
      </c>
      <c r="F307" s="2">
        <v>5804.0</v>
      </c>
      <c r="G307" s="2">
        <v>0.047</v>
      </c>
      <c r="H307" s="2">
        <v>16.0</v>
      </c>
      <c r="I307" s="2">
        <v>86.9</v>
      </c>
      <c r="J307" s="2">
        <v>15.82</v>
      </c>
      <c r="K307" s="2">
        <v>0.0</v>
      </c>
      <c r="L307" s="2">
        <v>3.8</v>
      </c>
      <c r="M307" s="2">
        <v>538376.0</v>
      </c>
      <c r="N307" s="2">
        <v>87605.62</v>
      </c>
    </row>
    <row r="308" ht="15.75" customHeight="1">
      <c r="A308" s="2" t="s">
        <v>98</v>
      </c>
      <c r="B308" s="3">
        <v>45717.0</v>
      </c>
      <c r="C308" s="2" t="s">
        <v>24</v>
      </c>
      <c r="D308" s="2" t="s">
        <v>16</v>
      </c>
      <c r="E308" s="2">
        <v>22387.26</v>
      </c>
      <c r="F308" s="2">
        <v>6301.0</v>
      </c>
      <c r="G308" s="2">
        <v>0.146</v>
      </c>
      <c r="H308" s="2">
        <v>14.0</v>
      </c>
      <c r="I308" s="2">
        <v>85.9</v>
      </c>
      <c r="J308" s="2">
        <v>1.17</v>
      </c>
      <c r="K308" s="2">
        <v>1.0</v>
      </c>
      <c r="L308" s="2">
        <v>3.7</v>
      </c>
      <c r="M308" s="2">
        <v>665342.49</v>
      </c>
      <c r="N308" s="2">
        <v>93441.81</v>
      </c>
    </row>
    <row r="309" ht="15.75" customHeight="1">
      <c r="A309" s="2" t="s">
        <v>98</v>
      </c>
      <c r="B309" s="3">
        <v>45748.0</v>
      </c>
      <c r="C309" s="2" t="s">
        <v>24</v>
      </c>
      <c r="D309" s="2" t="s">
        <v>16</v>
      </c>
      <c r="E309" s="2">
        <v>60684.05</v>
      </c>
      <c r="F309" s="2">
        <v>6399.0</v>
      </c>
      <c r="G309" s="2">
        <v>0.075</v>
      </c>
      <c r="H309" s="2">
        <v>16.0</v>
      </c>
      <c r="I309" s="2">
        <v>99.0</v>
      </c>
      <c r="J309" s="2">
        <v>3.82</v>
      </c>
      <c r="K309" s="2">
        <v>0.0</v>
      </c>
      <c r="L309" s="2">
        <v>3.5</v>
      </c>
      <c r="M309" s="2">
        <v>651164.18</v>
      </c>
      <c r="N309" s="2">
        <v>109466.5</v>
      </c>
    </row>
    <row r="310" ht="15.75" customHeight="1">
      <c r="A310" s="2" t="s">
        <v>99</v>
      </c>
      <c r="B310" s="3">
        <v>45658.0</v>
      </c>
      <c r="C310" s="2" t="s">
        <v>24</v>
      </c>
      <c r="D310" s="2" t="s">
        <v>18</v>
      </c>
      <c r="E310" s="2">
        <v>48465.6</v>
      </c>
      <c r="F310" s="2">
        <v>5759.0</v>
      </c>
      <c r="G310" s="2">
        <v>0.154</v>
      </c>
      <c r="H310" s="2">
        <v>13.0</v>
      </c>
      <c r="I310" s="2">
        <v>87.5</v>
      </c>
      <c r="J310" s="2">
        <v>4.14</v>
      </c>
      <c r="K310" s="2">
        <v>0.0</v>
      </c>
      <c r="L310" s="2">
        <v>4.0</v>
      </c>
      <c r="M310" s="2">
        <v>628538.3</v>
      </c>
      <c r="N310" s="2">
        <v>112509.15</v>
      </c>
    </row>
    <row r="311" ht="15.75" customHeight="1">
      <c r="A311" s="2" t="s">
        <v>99</v>
      </c>
      <c r="B311" s="3">
        <v>45689.0</v>
      </c>
      <c r="C311" s="2" t="s">
        <v>24</v>
      </c>
      <c r="D311" s="2" t="s">
        <v>18</v>
      </c>
      <c r="E311" s="2">
        <v>23702.38</v>
      </c>
      <c r="F311" s="2">
        <v>5285.0</v>
      </c>
      <c r="G311" s="2">
        <v>0.167</v>
      </c>
      <c r="H311" s="2">
        <v>14.0</v>
      </c>
      <c r="I311" s="2">
        <v>79.7</v>
      </c>
      <c r="J311" s="2">
        <v>1.1</v>
      </c>
      <c r="K311" s="2">
        <v>0.0</v>
      </c>
      <c r="L311" s="2">
        <v>4.3</v>
      </c>
      <c r="M311" s="2">
        <v>536524.84</v>
      </c>
      <c r="N311" s="2">
        <v>92752.94</v>
      </c>
    </row>
    <row r="312" ht="15.75" customHeight="1">
      <c r="A312" s="2" t="s">
        <v>99</v>
      </c>
      <c r="B312" s="3">
        <v>45717.0</v>
      </c>
      <c r="C312" s="2" t="s">
        <v>24</v>
      </c>
      <c r="D312" s="2" t="s">
        <v>18</v>
      </c>
      <c r="E312" s="2">
        <v>54322.94</v>
      </c>
      <c r="F312" s="2">
        <v>5434.0</v>
      </c>
      <c r="G312" s="2">
        <v>0.2</v>
      </c>
      <c r="H312" s="2">
        <v>13.0</v>
      </c>
      <c r="I312" s="2">
        <v>85.7</v>
      </c>
      <c r="J312" s="2">
        <v>10.6</v>
      </c>
      <c r="K312" s="2">
        <v>0.0</v>
      </c>
      <c r="L312" s="2">
        <v>4.2</v>
      </c>
      <c r="M312" s="2">
        <v>621677.3</v>
      </c>
      <c r="N312" s="2">
        <v>105192.52</v>
      </c>
    </row>
    <row r="313" ht="15.75" customHeight="1">
      <c r="A313" s="2" t="s">
        <v>99</v>
      </c>
      <c r="B313" s="3">
        <v>45748.0</v>
      </c>
      <c r="C313" s="2" t="s">
        <v>24</v>
      </c>
      <c r="D313" s="2" t="s">
        <v>18</v>
      </c>
      <c r="E313" s="2">
        <v>86026.58</v>
      </c>
      <c r="F313" s="2">
        <v>7479.0</v>
      </c>
      <c r="G313" s="2">
        <v>0.142</v>
      </c>
      <c r="H313" s="2">
        <v>20.0</v>
      </c>
      <c r="I313" s="2">
        <v>89.0</v>
      </c>
      <c r="J313" s="2">
        <v>0.9</v>
      </c>
      <c r="K313" s="2">
        <v>0.0</v>
      </c>
      <c r="L313" s="2"/>
      <c r="M313" s="2">
        <v>771129.07</v>
      </c>
      <c r="N313" s="2">
        <v>116851.13</v>
      </c>
    </row>
    <row r="314" ht="15.75" customHeight="1">
      <c r="A314" s="2" t="s">
        <v>100</v>
      </c>
      <c r="B314" s="3">
        <v>45658.0</v>
      </c>
      <c r="C314" s="2" t="s">
        <v>20</v>
      </c>
      <c r="D314" s="2" t="s">
        <v>16</v>
      </c>
      <c r="E314" s="2">
        <v>78967.52</v>
      </c>
      <c r="F314" s="2">
        <v>6164.0</v>
      </c>
      <c r="G314" s="2">
        <v>0.021</v>
      </c>
      <c r="H314" s="2">
        <v>16.0</v>
      </c>
      <c r="I314" s="2">
        <v>85.5</v>
      </c>
      <c r="J314" s="2">
        <v>0.2</v>
      </c>
      <c r="K314" s="2">
        <v>0.0</v>
      </c>
      <c r="L314" s="2">
        <v>3.4</v>
      </c>
      <c r="M314" s="2">
        <v>702052.47</v>
      </c>
      <c r="N314" s="2">
        <v>121732.51</v>
      </c>
    </row>
    <row r="315" ht="15.75" customHeight="1">
      <c r="A315" s="2" t="s">
        <v>100</v>
      </c>
      <c r="B315" s="3">
        <v>45689.0</v>
      </c>
      <c r="C315" s="2" t="s">
        <v>20</v>
      </c>
      <c r="D315" s="2" t="s">
        <v>16</v>
      </c>
      <c r="E315" s="2">
        <v>46767.99</v>
      </c>
      <c r="F315" s="2">
        <v>7973.0</v>
      </c>
      <c r="G315" s="2">
        <v>0.183</v>
      </c>
      <c r="H315" s="2">
        <v>18.0</v>
      </c>
      <c r="I315" s="2">
        <v>94.8</v>
      </c>
      <c r="J315" s="2">
        <v>4.67</v>
      </c>
      <c r="K315" s="2">
        <v>0.0</v>
      </c>
      <c r="L315" s="2"/>
      <c r="M315" s="2">
        <v>688368.46</v>
      </c>
      <c r="N315" s="2">
        <v>93588.42</v>
      </c>
    </row>
    <row r="316" ht="15.75" customHeight="1">
      <c r="A316" s="2" t="s">
        <v>100</v>
      </c>
      <c r="B316" s="3">
        <v>45717.0</v>
      </c>
      <c r="C316" s="2" t="s">
        <v>20</v>
      </c>
      <c r="D316" s="2" t="s">
        <v>16</v>
      </c>
      <c r="E316" s="2">
        <v>62507.16</v>
      </c>
      <c r="F316" s="2">
        <v>6000.0</v>
      </c>
      <c r="G316" s="2">
        <v>0.091</v>
      </c>
      <c r="H316" s="2">
        <v>14.0</v>
      </c>
      <c r="I316" s="2">
        <v>98.2</v>
      </c>
      <c r="J316" s="2">
        <v>4.38</v>
      </c>
      <c r="K316" s="2">
        <v>1.0</v>
      </c>
      <c r="L316" s="2">
        <v>3.9</v>
      </c>
      <c r="M316" s="2">
        <v>712375.77</v>
      </c>
      <c r="N316" s="2">
        <v>104171.53</v>
      </c>
    </row>
    <row r="317" ht="15.75" customHeight="1">
      <c r="A317" s="2" t="s">
        <v>100</v>
      </c>
      <c r="B317" s="3">
        <v>45748.0</v>
      </c>
      <c r="C317" s="2" t="s">
        <v>20</v>
      </c>
      <c r="D317" s="2" t="s">
        <v>16</v>
      </c>
      <c r="E317" s="2">
        <v>66456.28</v>
      </c>
      <c r="F317" s="2">
        <v>9967.0</v>
      </c>
      <c r="G317" s="2">
        <v>0.108</v>
      </c>
      <c r="H317" s="2">
        <v>20.0</v>
      </c>
      <c r="I317" s="2">
        <v>94.7</v>
      </c>
      <c r="J317" s="2">
        <v>4.48</v>
      </c>
      <c r="K317" s="2">
        <v>0.0</v>
      </c>
      <c r="L317" s="2">
        <v>4.2</v>
      </c>
      <c r="M317" s="2">
        <v>844710.67</v>
      </c>
      <c r="N317" s="2">
        <v>137140.18</v>
      </c>
    </row>
    <row r="318" ht="15.75" customHeight="1">
      <c r="A318" s="2" t="s">
        <v>101</v>
      </c>
      <c r="B318" s="3">
        <v>45658.0</v>
      </c>
      <c r="C318" s="2" t="s">
        <v>15</v>
      </c>
      <c r="D318" s="2" t="s">
        <v>16</v>
      </c>
      <c r="E318" s="2">
        <v>76614.32</v>
      </c>
      <c r="F318" s="2">
        <v>5639.0</v>
      </c>
      <c r="G318" s="2">
        <v>0.174</v>
      </c>
      <c r="H318" s="2">
        <v>15.0</v>
      </c>
      <c r="I318" s="2">
        <v>92.9</v>
      </c>
      <c r="J318" s="2">
        <v>1.02</v>
      </c>
      <c r="K318" s="2">
        <v>1.0</v>
      </c>
      <c r="L318" s="2">
        <v>4.0</v>
      </c>
      <c r="M318" s="2">
        <v>620264.2</v>
      </c>
      <c r="N318" s="2">
        <v>91365.64</v>
      </c>
    </row>
    <row r="319" ht="15.75" customHeight="1">
      <c r="A319" s="2" t="s">
        <v>101</v>
      </c>
      <c r="B319" s="3">
        <v>45689.0</v>
      </c>
      <c r="C319" s="2" t="s">
        <v>15</v>
      </c>
      <c r="D319" s="2" t="s">
        <v>16</v>
      </c>
      <c r="E319" s="2">
        <v>24088.06</v>
      </c>
      <c r="F319" s="2">
        <v>3466.0</v>
      </c>
      <c r="G319" s="2">
        <v>0.0</v>
      </c>
      <c r="H319" s="2">
        <v>11.0</v>
      </c>
      <c r="I319" s="2">
        <v>88.0</v>
      </c>
      <c r="J319" s="2">
        <v>0.2</v>
      </c>
      <c r="K319" s="2">
        <v>0.0</v>
      </c>
      <c r="L319" s="2">
        <v>3.8</v>
      </c>
      <c r="M319" s="2">
        <v>536845.42</v>
      </c>
      <c r="N319" s="2">
        <v>107473.75</v>
      </c>
    </row>
    <row r="320" ht="15.75" customHeight="1">
      <c r="A320" s="2" t="s">
        <v>101</v>
      </c>
      <c r="B320" s="3">
        <v>45717.0</v>
      </c>
      <c r="C320" s="2" t="s">
        <v>15</v>
      </c>
      <c r="D320" s="2" t="s">
        <v>16</v>
      </c>
      <c r="E320" s="2">
        <v>81902.58</v>
      </c>
      <c r="F320" s="2">
        <v>7775.0</v>
      </c>
      <c r="G320" s="2">
        <v>0.215</v>
      </c>
      <c r="H320" s="2">
        <v>20.0</v>
      </c>
      <c r="I320" s="2">
        <v>85.2</v>
      </c>
      <c r="J320" s="2">
        <v>4.89</v>
      </c>
      <c r="K320" s="2">
        <v>1.0</v>
      </c>
      <c r="L320" s="2">
        <v>4.2</v>
      </c>
      <c r="M320" s="2">
        <v>726776.22</v>
      </c>
      <c r="N320" s="2">
        <v>90804.49</v>
      </c>
    </row>
    <row r="321" ht="15.75" customHeight="1">
      <c r="A321" s="2" t="s">
        <v>101</v>
      </c>
      <c r="B321" s="3">
        <v>45748.0</v>
      </c>
      <c r="C321" s="2" t="s">
        <v>15</v>
      </c>
      <c r="D321" s="2" t="s">
        <v>16</v>
      </c>
      <c r="E321" s="2">
        <v>40553.11</v>
      </c>
      <c r="F321" s="2">
        <v>5317.0</v>
      </c>
      <c r="G321" s="2">
        <v>0.165</v>
      </c>
      <c r="H321" s="2">
        <v>17.0</v>
      </c>
      <c r="I321" s="2">
        <v>84.3</v>
      </c>
      <c r="J321" s="2">
        <v>11.82</v>
      </c>
      <c r="K321" s="2">
        <v>0.0</v>
      </c>
      <c r="L321" s="2">
        <v>4.1</v>
      </c>
      <c r="M321" s="2">
        <v>559660.84</v>
      </c>
      <c r="N321" s="2">
        <v>71443.61</v>
      </c>
    </row>
    <row r="322" ht="15.75" customHeight="1">
      <c r="A322" s="4" t="s">
        <v>105</v>
      </c>
    </row>
    <row r="323" ht="15.75" customHeight="1">
      <c r="A323" s="5">
        <f t="shared" ref="A323:N323" si="7">COUNTBLANK(A2:A322)</f>
        <v>0</v>
      </c>
      <c r="B323" s="5">
        <f t="shared" si="7"/>
        <v>1</v>
      </c>
      <c r="C323" s="5">
        <f t="shared" si="7"/>
        <v>1</v>
      </c>
      <c r="D323" s="5">
        <f t="shared" si="7"/>
        <v>1</v>
      </c>
      <c r="E323" s="5">
        <f t="shared" si="7"/>
        <v>1</v>
      </c>
      <c r="F323" s="5">
        <f t="shared" si="7"/>
        <v>1</v>
      </c>
      <c r="G323" s="5">
        <f t="shared" si="7"/>
        <v>1</v>
      </c>
      <c r="H323" s="5">
        <f t="shared" si="7"/>
        <v>1</v>
      </c>
      <c r="I323" s="5">
        <f t="shared" si="7"/>
        <v>1</v>
      </c>
      <c r="J323" s="5">
        <f t="shared" si="7"/>
        <v>7</v>
      </c>
      <c r="K323" s="5">
        <f t="shared" si="7"/>
        <v>1</v>
      </c>
      <c r="L323" s="5">
        <f t="shared" si="7"/>
        <v>9</v>
      </c>
      <c r="M323" s="5">
        <f t="shared" si="7"/>
        <v>1</v>
      </c>
      <c r="N323" s="5">
        <f t="shared" si="7"/>
        <v>1</v>
      </c>
    </row>
    <row r="324" ht="15.75" customHeight="1">
      <c r="A324" s="5" t="str">
        <f>COUNTIF(A:A,A2)</f>
        <v>#REF!</v>
      </c>
      <c r="K324" s="4" t="s">
        <v>106</v>
      </c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2" width="16.0"/>
    <col customWidth="1" min="23" max="34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107</v>
      </c>
      <c r="P1" s="6" t="s">
        <v>108</v>
      </c>
      <c r="Q1" s="6" t="s">
        <v>109</v>
      </c>
      <c r="R1" s="6" t="s">
        <v>110</v>
      </c>
      <c r="S1" s="6" t="s">
        <v>111</v>
      </c>
      <c r="T1" s="6" t="s">
        <v>112</v>
      </c>
      <c r="U1" s="6" t="s">
        <v>113</v>
      </c>
      <c r="V1" s="6" t="s">
        <v>114</v>
      </c>
    </row>
    <row r="2">
      <c r="A2" s="2" t="s">
        <v>14</v>
      </c>
      <c r="B2" s="3">
        <v>45658.0</v>
      </c>
      <c r="C2" s="2" t="s">
        <v>15</v>
      </c>
      <c r="D2" s="2" t="s">
        <v>16</v>
      </c>
      <c r="E2" s="2">
        <v>70389.11</v>
      </c>
      <c r="F2" s="2">
        <v>8302.0</v>
      </c>
      <c r="G2" s="2">
        <v>0.042</v>
      </c>
      <c r="H2" s="2">
        <v>17.0</v>
      </c>
      <c r="I2" s="2">
        <v>75.0</v>
      </c>
      <c r="J2" s="2">
        <v>5.28</v>
      </c>
      <c r="K2" s="2">
        <v>1.0</v>
      </c>
      <c r="L2" s="2">
        <v>3.1</v>
      </c>
      <c r="M2" s="2">
        <v>658832.62</v>
      </c>
      <c r="N2" s="2">
        <v>84349.93</v>
      </c>
      <c r="O2" s="2">
        <f t="shared" ref="O2:O321" si="1">IF(C2="East",1,0)</f>
        <v>1</v>
      </c>
      <c r="P2" s="2">
        <f t="shared" ref="P2:P321" si="2">IF(C2="North",1,0)</f>
        <v>0</v>
      </c>
      <c r="Q2" s="2">
        <f t="shared" ref="Q2:Q321" si="3">IF(C2="South",1,0)</f>
        <v>0</v>
      </c>
      <c r="R2" s="2">
        <f t="shared" ref="R2:R321" si="4">IF(D2="Airport",1,0)</f>
        <v>0</v>
      </c>
      <c r="S2" s="2">
        <f t="shared" ref="S2:S321" si="5">IF(D2="High Street",1,0)</f>
        <v>0</v>
      </c>
      <c r="T2" s="2">
        <f t="shared" ref="T2:T321" si="6">IF(D2="Mall",1,0)</f>
        <v>0</v>
      </c>
      <c r="U2" s="2">
        <f t="shared" ref="U2:U321" si="7">149020.04+(1.18616*E2)+(33.8665*F2)+(2818.08*I2)-(17489.89*O2)-(6944.47*P2)+(4449.4*Q2)</f>
        <v>707538.5797</v>
      </c>
      <c r="V2" s="2">
        <f t="shared" ref="V2:V321" si="8">M2-U2</f>
        <v>-48705.95972</v>
      </c>
    </row>
    <row r="3">
      <c r="A3" s="2" t="s">
        <v>14</v>
      </c>
      <c r="B3" s="3">
        <v>45689.0</v>
      </c>
      <c r="C3" s="2" t="s">
        <v>15</v>
      </c>
      <c r="D3" s="2" t="s">
        <v>16</v>
      </c>
      <c r="E3" s="2">
        <v>43827.89</v>
      </c>
      <c r="F3" s="2">
        <v>8487.0</v>
      </c>
      <c r="G3" s="2">
        <v>0.168</v>
      </c>
      <c r="H3" s="2">
        <v>23.0</v>
      </c>
      <c r="I3" s="2">
        <v>84.4</v>
      </c>
      <c r="J3" s="2">
        <v>4.31</v>
      </c>
      <c r="K3" s="2">
        <v>0.0</v>
      </c>
      <c r="L3" s="2">
        <v>2.8</v>
      </c>
      <c r="M3" s="2">
        <v>634436.0</v>
      </c>
      <c r="N3" s="2">
        <v>106130.54</v>
      </c>
      <c r="O3" s="2">
        <f t="shared" si="1"/>
        <v>1</v>
      </c>
      <c r="P3" s="2">
        <f t="shared" si="2"/>
        <v>0</v>
      </c>
      <c r="Q3" s="2">
        <f t="shared" si="3"/>
        <v>0</v>
      </c>
      <c r="R3" s="2">
        <f t="shared" si="4"/>
        <v>0</v>
      </c>
      <c r="S3" s="2">
        <f t="shared" si="5"/>
        <v>0</v>
      </c>
      <c r="T3" s="2">
        <f t="shared" si="6"/>
        <v>0</v>
      </c>
      <c r="U3" s="2">
        <f t="shared" si="7"/>
        <v>708787.9775</v>
      </c>
      <c r="V3" s="2">
        <f t="shared" si="8"/>
        <v>-74351.9775</v>
      </c>
    </row>
    <row r="4">
      <c r="A4" s="2" t="s">
        <v>14</v>
      </c>
      <c r="B4" s="3">
        <v>45717.0</v>
      </c>
      <c r="C4" s="2" t="s">
        <v>15</v>
      </c>
      <c r="D4" s="2" t="s">
        <v>16</v>
      </c>
      <c r="E4" s="2">
        <v>59921.75</v>
      </c>
      <c r="F4" s="2">
        <v>9113.0</v>
      </c>
      <c r="G4" s="2">
        <v>0.133</v>
      </c>
      <c r="H4" s="2">
        <v>20.0</v>
      </c>
      <c r="I4" s="2">
        <v>88.0</v>
      </c>
      <c r="J4" s="2">
        <v>12.0</v>
      </c>
      <c r="K4" s="2">
        <v>0.0</v>
      </c>
      <c r="L4" s="2">
        <v>3.2</v>
      </c>
      <c r="M4" s="2">
        <v>678722.06</v>
      </c>
      <c r="N4" s="2">
        <v>101883.86</v>
      </c>
      <c r="O4" s="2">
        <f t="shared" si="1"/>
        <v>1</v>
      </c>
      <c r="P4" s="2">
        <f t="shared" si="2"/>
        <v>0</v>
      </c>
      <c r="Q4" s="2">
        <f t="shared" si="3"/>
        <v>0</v>
      </c>
      <c r="R4" s="2">
        <f t="shared" si="4"/>
        <v>0</v>
      </c>
      <c r="S4" s="2">
        <f t="shared" si="5"/>
        <v>0</v>
      </c>
      <c r="T4" s="2">
        <f t="shared" si="6"/>
        <v>0</v>
      </c>
      <c r="U4" s="2">
        <f t="shared" si="7"/>
        <v>759223.3875</v>
      </c>
      <c r="V4" s="2">
        <f t="shared" si="8"/>
        <v>-80501.32748</v>
      </c>
    </row>
    <row r="5">
      <c r="A5" s="2" t="s">
        <v>14</v>
      </c>
      <c r="B5" s="3">
        <v>45748.0</v>
      </c>
      <c r="C5" s="2" t="s">
        <v>15</v>
      </c>
      <c r="D5" s="2" t="s">
        <v>16</v>
      </c>
      <c r="E5" s="2">
        <v>56856.63</v>
      </c>
      <c r="F5" s="2">
        <v>9431.0</v>
      </c>
      <c r="G5" s="2">
        <v>0.142</v>
      </c>
      <c r="H5" s="2">
        <v>23.0</v>
      </c>
      <c r="I5" s="2">
        <v>86.9</v>
      </c>
      <c r="J5" s="2">
        <v>4.97</v>
      </c>
      <c r="K5" s="2">
        <v>0.0</v>
      </c>
      <c r="L5" s="2">
        <v>3.4</v>
      </c>
      <c r="M5" s="2">
        <v>658920.3</v>
      </c>
      <c r="N5" s="2">
        <v>97910.37</v>
      </c>
      <c r="O5" s="2">
        <f t="shared" si="1"/>
        <v>1</v>
      </c>
      <c r="P5" s="2">
        <f t="shared" si="2"/>
        <v>0</v>
      </c>
      <c r="Q5" s="2">
        <f t="shared" si="3"/>
        <v>0</v>
      </c>
      <c r="R5" s="2">
        <f t="shared" si="4"/>
        <v>0</v>
      </c>
      <c r="S5" s="2">
        <f t="shared" si="5"/>
        <v>0</v>
      </c>
      <c r="T5" s="2">
        <f t="shared" si="6"/>
        <v>0</v>
      </c>
      <c r="U5" s="2">
        <f t="shared" si="7"/>
        <v>763257.3237</v>
      </c>
      <c r="V5" s="2">
        <f t="shared" si="8"/>
        <v>-104337.0237</v>
      </c>
    </row>
    <row r="6">
      <c r="A6" s="2" t="s">
        <v>17</v>
      </c>
      <c r="B6" s="3">
        <v>45658.0</v>
      </c>
      <c r="C6" s="2" t="s">
        <v>15</v>
      </c>
      <c r="D6" s="2" t="s">
        <v>18</v>
      </c>
      <c r="E6" s="2">
        <v>48412.64</v>
      </c>
      <c r="F6" s="2">
        <v>9545.0</v>
      </c>
      <c r="G6" s="2">
        <v>0.231</v>
      </c>
      <c r="H6" s="2">
        <v>21.0</v>
      </c>
      <c r="I6" s="2">
        <v>97.6</v>
      </c>
      <c r="J6" s="2">
        <v>6.94</v>
      </c>
      <c r="K6" s="2">
        <v>1.0</v>
      </c>
      <c r="L6" s="2">
        <v>4.2</v>
      </c>
      <c r="M6" s="2">
        <v>741341.44</v>
      </c>
      <c r="N6" s="2">
        <v>119208.17</v>
      </c>
      <c r="O6" s="2">
        <f t="shared" si="1"/>
        <v>1</v>
      </c>
      <c r="P6" s="2">
        <f t="shared" si="2"/>
        <v>0</v>
      </c>
      <c r="Q6" s="2">
        <f t="shared" si="3"/>
        <v>0</v>
      </c>
      <c r="R6" s="2">
        <f t="shared" si="4"/>
        <v>0</v>
      </c>
      <c r="S6" s="2">
        <f t="shared" si="5"/>
        <v>1</v>
      </c>
      <c r="T6" s="2">
        <f t="shared" si="6"/>
        <v>0</v>
      </c>
      <c r="U6" s="2">
        <f t="shared" si="7"/>
        <v>787255.6376</v>
      </c>
      <c r="V6" s="2">
        <f t="shared" si="8"/>
        <v>-45914.19756</v>
      </c>
    </row>
    <row r="7">
      <c r="A7" s="2" t="s">
        <v>17</v>
      </c>
      <c r="B7" s="3">
        <v>45689.0</v>
      </c>
      <c r="C7" s="2" t="s">
        <v>15</v>
      </c>
      <c r="D7" s="2" t="s">
        <v>18</v>
      </c>
      <c r="E7" s="2">
        <v>64811.21</v>
      </c>
      <c r="F7" s="2">
        <v>9792.0</v>
      </c>
      <c r="G7" s="2">
        <v>0.112</v>
      </c>
      <c r="H7" s="2">
        <v>20.0</v>
      </c>
      <c r="I7" s="2">
        <v>84.2</v>
      </c>
      <c r="J7" s="2">
        <v>2.88</v>
      </c>
      <c r="K7" s="2">
        <v>0.0</v>
      </c>
      <c r="L7" s="2">
        <v>4.2</v>
      </c>
      <c r="M7" s="2">
        <v>761835.34</v>
      </c>
      <c r="N7" s="2">
        <v>149602.23</v>
      </c>
      <c r="O7" s="2">
        <f t="shared" si="1"/>
        <v>1</v>
      </c>
      <c r="P7" s="2">
        <f t="shared" si="2"/>
        <v>0</v>
      </c>
      <c r="Q7" s="2">
        <f t="shared" si="3"/>
        <v>0</v>
      </c>
      <c r="R7" s="2">
        <f t="shared" si="4"/>
        <v>0</v>
      </c>
      <c r="S7" s="2">
        <f t="shared" si="5"/>
        <v>1</v>
      </c>
      <c r="T7" s="2">
        <f t="shared" si="6"/>
        <v>0</v>
      </c>
      <c r="U7" s="2">
        <f t="shared" si="7"/>
        <v>777309.7189</v>
      </c>
      <c r="V7" s="2">
        <f t="shared" si="8"/>
        <v>-15474.37885</v>
      </c>
    </row>
    <row r="8">
      <c r="A8" s="2" t="s">
        <v>17</v>
      </c>
      <c r="B8" s="3">
        <v>45717.0</v>
      </c>
      <c r="C8" s="2" t="s">
        <v>15</v>
      </c>
      <c r="D8" s="2" t="s">
        <v>18</v>
      </c>
      <c r="E8" s="2">
        <v>46213.45</v>
      </c>
      <c r="F8" s="2">
        <v>10616.0</v>
      </c>
      <c r="G8" s="2">
        <v>0.122</v>
      </c>
      <c r="H8" s="2">
        <v>22.0</v>
      </c>
      <c r="I8" s="2">
        <v>85.2</v>
      </c>
      <c r="J8" s="2">
        <v>0.2</v>
      </c>
      <c r="K8" s="2">
        <v>1.0</v>
      </c>
      <c r="L8" s="2">
        <v>4.1</v>
      </c>
      <c r="M8" s="2">
        <v>806615.54</v>
      </c>
      <c r="N8" s="2">
        <v>131364.62</v>
      </c>
      <c r="O8" s="2">
        <f t="shared" si="1"/>
        <v>1</v>
      </c>
      <c r="P8" s="2">
        <f t="shared" si="2"/>
        <v>0</v>
      </c>
      <c r="Q8" s="2">
        <f t="shared" si="3"/>
        <v>0</v>
      </c>
      <c r="R8" s="2">
        <f t="shared" si="4"/>
        <v>0</v>
      </c>
      <c r="S8" s="2">
        <f t="shared" si="5"/>
        <v>1</v>
      </c>
      <c r="T8" s="2">
        <f t="shared" si="6"/>
        <v>0</v>
      </c>
      <c r="U8" s="2">
        <f t="shared" si="7"/>
        <v>785973.8759</v>
      </c>
      <c r="V8" s="2">
        <f t="shared" si="8"/>
        <v>20641.66415</v>
      </c>
    </row>
    <row r="9">
      <c r="A9" s="2" t="s">
        <v>17</v>
      </c>
      <c r="B9" s="3">
        <v>45748.0</v>
      </c>
      <c r="C9" s="2" t="s">
        <v>15</v>
      </c>
      <c r="D9" s="2" t="s">
        <v>18</v>
      </c>
      <c r="E9" s="2">
        <v>68148.52</v>
      </c>
      <c r="F9" s="2">
        <v>8567.0</v>
      </c>
      <c r="G9" s="2">
        <v>0.127</v>
      </c>
      <c r="H9" s="2">
        <v>23.0</v>
      </c>
      <c r="I9" s="2">
        <v>95.6</v>
      </c>
      <c r="J9" s="2">
        <v>0.8</v>
      </c>
      <c r="K9" s="2">
        <v>0.0</v>
      </c>
      <c r="L9" s="2">
        <v>3.9</v>
      </c>
      <c r="M9" s="2">
        <v>850164.26</v>
      </c>
      <c r="N9" s="2">
        <v>149262.75</v>
      </c>
      <c r="O9" s="2">
        <f t="shared" si="1"/>
        <v>1</v>
      </c>
      <c r="P9" s="2">
        <f t="shared" si="2"/>
        <v>0</v>
      </c>
      <c r="Q9" s="2">
        <f t="shared" si="3"/>
        <v>0</v>
      </c>
      <c r="R9" s="2">
        <f t="shared" si="4"/>
        <v>0</v>
      </c>
      <c r="S9" s="2">
        <f t="shared" si="5"/>
        <v>1</v>
      </c>
      <c r="T9" s="2">
        <f t="shared" si="6"/>
        <v>0</v>
      </c>
      <c r="U9" s="2">
        <f t="shared" si="7"/>
        <v>771907.952</v>
      </c>
      <c r="V9" s="2">
        <f t="shared" si="8"/>
        <v>78256.30802</v>
      </c>
    </row>
    <row r="10">
      <c r="A10" s="2" t="s">
        <v>19</v>
      </c>
      <c r="B10" s="3">
        <v>45658.0</v>
      </c>
      <c r="C10" s="2" t="s">
        <v>20</v>
      </c>
      <c r="D10" s="2" t="s">
        <v>21</v>
      </c>
      <c r="E10" s="2">
        <v>71838.86</v>
      </c>
      <c r="F10" s="2">
        <v>10979.0</v>
      </c>
      <c r="G10" s="2">
        <v>0.215</v>
      </c>
      <c r="H10" s="2">
        <v>26.0</v>
      </c>
      <c r="I10" s="2">
        <v>88.6</v>
      </c>
      <c r="J10" s="2">
        <v>7.7</v>
      </c>
      <c r="K10" s="2">
        <v>1.0</v>
      </c>
      <c r="L10" s="2">
        <v>3.8</v>
      </c>
      <c r="M10" s="2">
        <v>930581.7</v>
      </c>
      <c r="N10" s="2">
        <v>136207.98</v>
      </c>
      <c r="O10" s="2">
        <f t="shared" si="1"/>
        <v>0</v>
      </c>
      <c r="P10" s="2">
        <f t="shared" si="2"/>
        <v>1</v>
      </c>
      <c r="Q10" s="2">
        <f t="shared" si="3"/>
        <v>0</v>
      </c>
      <c r="R10" s="2">
        <f t="shared" si="4"/>
        <v>1</v>
      </c>
      <c r="S10" s="2">
        <f t="shared" si="5"/>
        <v>0</v>
      </c>
      <c r="T10" s="2">
        <f t="shared" si="6"/>
        <v>0</v>
      </c>
      <c r="U10" s="2">
        <f t="shared" si="7"/>
        <v>848790.1437</v>
      </c>
      <c r="V10" s="2">
        <f t="shared" si="8"/>
        <v>81791.55632</v>
      </c>
    </row>
    <row r="11">
      <c r="A11" s="2" t="s">
        <v>19</v>
      </c>
      <c r="B11" s="3">
        <v>45689.0</v>
      </c>
      <c r="C11" s="2" t="s">
        <v>20</v>
      </c>
      <c r="D11" s="2" t="s">
        <v>21</v>
      </c>
      <c r="E11" s="2">
        <v>68133.44</v>
      </c>
      <c r="F11" s="2">
        <v>9459.0</v>
      </c>
      <c r="G11" s="2">
        <v>0.22</v>
      </c>
      <c r="H11" s="2">
        <v>21.0</v>
      </c>
      <c r="I11" s="2">
        <v>85.0</v>
      </c>
      <c r="J11" s="2">
        <v>1.91</v>
      </c>
      <c r="K11" s="2">
        <v>0.0</v>
      </c>
      <c r="L11" s="2">
        <v>4.2</v>
      </c>
      <c r="M11" s="2">
        <v>779010.94</v>
      </c>
      <c r="N11" s="2">
        <v>106328.09</v>
      </c>
      <c r="O11" s="2">
        <f t="shared" si="1"/>
        <v>0</v>
      </c>
      <c r="P11" s="2">
        <f t="shared" si="2"/>
        <v>1</v>
      </c>
      <c r="Q11" s="2">
        <f t="shared" si="3"/>
        <v>0</v>
      </c>
      <c r="R11" s="2">
        <f t="shared" si="4"/>
        <v>1</v>
      </c>
      <c r="S11" s="2">
        <f t="shared" si="5"/>
        <v>0</v>
      </c>
      <c r="T11" s="2">
        <f t="shared" si="6"/>
        <v>0</v>
      </c>
      <c r="U11" s="2">
        <f t="shared" si="7"/>
        <v>782772.7547</v>
      </c>
      <c r="V11" s="2">
        <f t="shared" si="8"/>
        <v>-3761.81469</v>
      </c>
    </row>
    <row r="12">
      <c r="A12" s="2" t="s">
        <v>19</v>
      </c>
      <c r="B12" s="3">
        <v>45717.0</v>
      </c>
      <c r="C12" s="2" t="s">
        <v>20</v>
      </c>
      <c r="D12" s="2" t="s">
        <v>21</v>
      </c>
      <c r="E12" s="2">
        <v>34285.21</v>
      </c>
      <c r="F12" s="2">
        <v>9172.0</v>
      </c>
      <c r="G12" s="2">
        <v>0.213</v>
      </c>
      <c r="H12" s="2">
        <v>22.0</v>
      </c>
      <c r="I12" s="2">
        <v>88.3</v>
      </c>
      <c r="J12" s="2">
        <v>10.46</v>
      </c>
      <c r="K12" s="2">
        <v>1.0</v>
      </c>
      <c r="L12" s="2">
        <v>3.8</v>
      </c>
      <c r="M12" s="2">
        <v>723060.76</v>
      </c>
      <c r="N12" s="2">
        <v>123131.24</v>
      </c>
      <c r="O12" s="2">
        <f t="shared" si="1"/>
        <v>0</v>
      </c>
      <c r="P12" s="2">
        <f t="shared" si="2"/>
        <v>1</v>
      </c>
      <c r="Q12" s="2">
        <f t="shared" si="3"/>
        <v>0</v>
      </c>
      <c r="R12" s="2">
        <f t="shared" si="4"/>
        <v>1</v>
      </c>
      <c r="S12" s="2">
        <f t="shared" si="5"/>
        <v>0</v>
      </c>
      <c r="T12" s="2">
        <f t="shared" si="6"/>
        <v>0</v>
      </c>
      <c r="U12" s="2">
        <f t="shared" si="7"/>
        <v>742203.3167</v>
      </c>
      <c r="V12" s="2">
        <f t="shared" si="8"/>
        <v>-19142.55669</v>
      </c>
    </row>
    <row r="13">
      <c r="A13" s="2" t="s">
        <v>19</v>
      </c>
      <c r="B13" s="3">
        <v>45748.0</v>
      </c>
      <c r="C13" s="2" t="s">
        <v>20</v>
      </c>
      <c r="D13" s="2" t="s">
        <v>21</v>
      </c>
      <c r="E13" s="2">
        <v>67979.88</v>
      </c>
      <c r="F13" s="2">
        <v>11230.0</v>
      </c>
      <c r="G13" s="2">
        <v>0.002</v>
      </c>
      <c r="H13" s="2">
        <v>28.0</v>
      </c>
      <c r="I13" s="2">
        <v>85.3</v>
      </c>
      <c r="J13" s="2">
        <v>7.16</v>
      </c>
      <c r="K13" s="2">
        <v>0.0</v>
      </c>
      <c r="L13" s="2">
        <v>3.8</v>
      </c>
      <c r="M13" s="2">
        <v>910791.94</v>
      </c>
      <c r="N13" s="2">
        <v>158891.28</v>
      </c>
      <c r="O13" s="2">
        <f t="shared" si="1"/>
        <v>0</v>
      </c>
      <c r="P13" s="2">
        <f t="shared" si="2"/>
        <v>1</v>
      </c>
      <c r="Q13" s="2">
        <f t="shared" si="3"/>
        <v>0</v>
      </c>
      <c r="R13" s="2">
        <f t="shared" si="4"/>
        <v>1</v>
      </c>
      <c r="S13" s="2">
        <f t="shared" si="5"/>
        <v>0</v>
      </c>
      <c r="T13" s="2">
        <f t="shared" si="6"/>
        <v>0</v>
      </c>
      <c r="U13" s="2">
        <f t="shared" si="7"/>
        <v>843413.6035</v>
      </c>
      <c r="V13" s="2">
        <f t="shared" si="8"/>
        <v>67378.33654</v>
      </c>
    </row>
    <row r="14">
      <c r="A14" s="2" t="s">
        <v>22</v>
      </c>
      <c r="B14" s="3">
        <v>45658.0</v>
      </c>
      <c r="C14" s="2" t="s">
        <v>15</v>
      </c>
      <c r="D14" s="2" t="s">
        <v>16</v>
      </c>
      <c r="E14" s="2">
        <v>71828.26</v>
      </c>
      <c r="F14" s="2">
        <v>12775.0</v>
      </c>
      <c r="G14" s="2">
        <v>0.116</v>
      </c>
      <c r="H14" s="2">
        <v>30.0</v>
      </c>
      <c r="I14" s="2">
        <v>81.7</v>
      </c>
      <c r="J14" s="2">
        <v>4.24</v>
      </c>
      <c r="K14" s="2">
        <v>1.0</v>
      </c>
      <c r="L14" s="2">
        <v>4.2</v>
      </c>
      <c r="M14" s="2">
        <v>922168.6</v>
      </c>
      <c r="N14" s="2">
        <v>107494.53</v>
      </c>
      <c r="O14" s="2">
        <f t="shared" si="1"/>
        <v>1</v>
      </c>
      <c r="P14" s="2">
        <f t="shared" si="2"/>
        <v>0</v>
      </c>
      <c r="Q14" s="2">
        <f t="shared" si="3"/>
        <v>0</v>
      </c>
      <c r="R14" s="2">
        <f t="shared" si="4"/>
        <v>0</v>
      </c>
      <c r="S14" s="2">
        <f t="shared" si="5"/>
        <v>0</v>
      </c>
      <c r="T14" s="2">
        <f t="shared" si="6"/>
        <v>0</v>
      </c>
      <c r="U14" s="2">
        <f t="shared" si="7"/>
        <v>879611.6324</v>
      </c>
      <c r="V14" s="2">
        <f t="shared" si="8"/>
        <v>42556.96762</v>
      </c>
    </row>
    <row r="15">
      <c r="A15" s="2" t="s">
        <v>22</v>
      </c>
      <c r="B15" s="3">
        <v>45689.0</v>
      </c>
      <c r="C15" s="2" t="s">
        <v>15</v>
      </c>
      <c r="D15" s="2" t="s">
        <v>16</v>
      </c>
      <c r="E15" s="2">
        <v>55716.82</v>
      </c>
      <c r="F15" s="2">
        <v>10054.0</v>
      </c>
      <c r="G15" s="2">
        <v>0.146</v>
      </c>
      <c r="H15" s="2">
        <v>24.0</v>
      </c>
      <c r="I15" s="2">
        <v>84.9</v>
      </c>
      <c r="J15" s="2">
        <v>1.06</v>
      </c>
      <c r="K15" s="2">
        <v>0.0</v>
      </c>
      <c r="L15" s="2">
        <v>4.3</v>
      </c>
      <c r="M15" s="2">
        <v>726606.28</v>
      </c>
      <c r="N15" s="2">
        <v>122729.29</v>
      </c>
      <c r="O15" s="2">
        <f t="shared" si="1"/>
        <v>1</v>
      </c>
      <c r="P15" s="2">
        <f t="shared" si="2"/>
        <v>0</v>
      </c>
      <c r="Q15" s="2">
        <f t="shared" si="3"/>
        <v>0</v>
      </c>
      <c r="R15" s="2">
        <f t="shared" si="4"/>
        <v>0</v>
      </c>
      <c r="S15" s="2">
        <f t="shared" si="5"/>
        <v>0</v>
      </c>
      <c r="T15" s="2">
        <f t="shared" si="6"/>
        <v>0</v>
      </c>
      <c r="U15" s="2">
        <f t="shared" si="7"/>
        <v>777367.9962</v>
      </c>
      <c r="V15" s="2">
        <f t="shared" si="8"/>
        <v>-50761.71621</v>
      </c>
    </row>
    <row r="16">
      <c r="A16" s="2" t="s">
        <v>22</v>
      </c>
      <c r="B16" s="3">
        <v>45717.0</v>
      </c>
      <c r="C16" s="2" t="s">
        <v>15</v>
      </c>
      <c r="D16" s="2" t="s">
        <v>16</v>
      </c>
      <c r="E16" s="2">
        <v>59909.51</v>
      </c>
      <c r="F16" s="2">
        <v>8895.0</v>
      </c>
      <c r="G16" s="2">
        <v>0.228</v>
      </c>
      <c r="H16" s="2">
        <v>23.0</v>
      </c>
      <c r="I16" s="2">
        <v>88.8</v>
      </c>
      <c r="J16" s="2">
        <v>0.27</v>
      </c>
      <c r="K16" s="2">
        <v>0.0</v>
      </c>
      <c r="L16" s="2">
        <v>4.3</v>
      </c>
      <c r="M16" s="2">
        <v>746501.09</v>
      </c>
      <c r="N16" s="2">
        <v>136816.72</v>
      </c>
      <c r="O16" s="2">
        <f t="shared" si="1"/>
        <v>1</v>
      </c>
      <c r="P16" s="2">
        <f t="shared" si="2"/>
        <v>0</v>
      </c>
      <c r="Q16" s="2">
        <f t="shared" si="3"/>
        <v>0</v>
      </c>
      <c r="R16" s="2">
        <f t="shared" si="4"/>
        <v>0</v>
      </c>
      <c r="S16" s="2">
        <f t="shared" si="5"/>
        <v>0</v>
      </c>
      <c r="T16" s="2">
        <f t="shared" si="6"/>
        <v>0</v>
      </c>
      <c r="U16" s="2">
        <f t="shared" si="7"/>
        <v>754080.4359</v>
      </c>
      <c r="V16" s="2">
        <f t="shared" si="8"/>
        <v>-7579.345882</v>
      </c>
    </row>
    <row r="17">
      <c r="A17" s="2" t="s">
        <v>22</v>
      </c>
      <c r="B17" s="3">
        <v>45748.0</v>
      </c>
      <c r="C17" s="2" t="s">
        <v>15</v>
      </c>
      <c r="D17" s="2" t="s">
        <v>16</v>
      </c>
      <c r="E17" s="2">
        <v>75305.71</v>
      </c>
      <c r="F17" s="2">
        <v>10940.0</v>
      </c>
      <c r="G17" s="2">
        <v>0.006</v>
      </c>
      <c r="H17" s="2">
        <v>26.0</v>
      </c>
      <c r="I17" s="2">
        <v>76.5</v>
      </c>
      <c r="J17" s="2">
        <v>1.32</v>
      </c>
      <c r="K17" s="2">
        <v>0.0</v>
      </c>
      <c r="L17" s="2">
        <v>4.5</v>
      </c>
      <c r="M17" s="2">
        <v>834017.02</v>
      </c>
      <c r="N17" s="2">
        <v>114745.03</v>
      </c>
      <c r="O17" s="2">
        <f t="shared" si="1"/>
        <v>1</v>
      </c>
      <c r="P17" s="2">
        <f t="shared" si="2"/>
        <v>0</v>
      </c>
      <c r="Q17" s="2">
        <f t="shared" si="3"/>
        <v>0</v>
      </c>
      <c r="R17" s="2">
        <f t="shared" si="4"/>
        <v>0</v>
      </c>
      <c r="S17" s="2">
        <f t="shared" si="5"/>
        <v>0</v>
      </c>
      <c r="T17" s="2">
        <f t="shared" si="6"/>
        <v>0</v>
      </c>
      <c r="U17" s="2">
        <f t="shared" si="7"/>
        <v>806937.401</v>
      </c>
      <c r="V17" s="2">
        <f t="shared" si="8"/>
        <v>27079.61903</v>
      </c>
    </row>
    <row r="18">
      <c r="A18" s="2" t="s">
        <v>23</v>
      </c>
      <c r="B18" s="3">
        <v>45658.0</v>
      </c>
      <c r="C18" s="2" t="s">
        <v>24</v>
      </c>
      <c r="D18" s="2" t="s">
        <v>16</v>
      </c>
      <c r="E18" s="2">
        <v>48804.22</v>
      </c>
      <c r="F18" s="2">
        <v>7057.0</v>
      </c>
      <c r="G18" s="2">
        <v>0.005</v>
      </c>
      <c r="H18" s="2">
        <v>15.0</v>
      </c>
      <c r="I18" s="2">
        <v>87.7</v>
      </c>
      <c r="J18" s="2">
        <v>1.22</v>
      </c>
      <c r="K18" s="2">
        <v>0.0</v>
      </c>
      <c r="L18" s="2">
        <v>3.7</v>
      </c>
      <c r="M18" s="2">
        <v>666152.52</v>
      </c>
      <c r="N18" s="2">
        <v>107490.58</v>
      </c>
      <c r="O18" s="2">
        <f t="shared" si="1"/>
        <v>0</v>
      </c>
      <c r="P18" s="2">
        <f t="shared" si="2"/>
        <v>0</v>
      </c>
      <c r="Q18" s="2">
        <f t="shared" si="3"/>
        <v>1</v>
      </c>
      <c r="R18" s="2">
        <f t="shared" si="4"/>
        <v>0</v>
      </c>
      <c r="S18" s="2">
        <f t="shared" si="5"/>
        <v>0</v>
      </c>
      <c r="T18" s="2">
        <f t="shared" si="6"/>
        <v>0</v>
      </c>
      <c r="U18" s="2">
        <f t="shared" si="7"/>
        <v>697500.5601</v>
      </c>
      <c r="V18" s="2">
        <f t="shared" si="8"/>
        <v>-31348.0401</v>
      </c>
    </row>
    <row r="19">
      <c r="A19" s="2" t="s">
        <v>23</v>
      </c>
      <c r="B19" s="3">
        <v>45689.0</v>
      </c>
      <c r="C19" s="2" t="s">
        <v>24</v>
      </c>
      <c r="D19" s="2" t="s">
        <v>16</v>
      </c>
      <c r="E19" s="2">
        <v>59117.9</v>
      </c>
      <c r="F19" s="2">
        <v>4263.0</v>
      </c>
      <c r="G19" s="2">
        <v>0.119</v>
      </c>
      <c r="H19" s="2">
        <v>9.0</v>
      </c>
      <c r="I19" s="2">
        <v>87.6</v>
      </c>
      <c r="J19" s="2">
        <v>4.01</v>
      </c>
      <c r="K19" s="2">
        <v>0.0</v>
      </c>
      <c r="L19" s="2">
        <v>3.6</v>
      </c>
      <c r="M19" s="2">
        <v>573155.19</v>
      </c>
      <c r="N19" s="2">
        <v>83680.75</v>
      </c>
      <c r="O19" s="2">
        <f t="shared" si="1"/>
        <v>0</v>
      </c>
      <c r="P19" s="2">
        <f t="shared" si="2"/>
        <v>0</v>
      </c>
      <c r="Q19" s="2">
        <f t="shared" si="3"/>
        <v>1</v>
      </c>
      <c r="R19" s="2">
        <f t="shared" si="4"/>
        <v>0</v>
      </c>
      <c r="S19" s="2">
        <f t="shared" si="5"/>
        <v>0</v>
      </c>
      <c r="T19" s="2">
        <f t="shared" si="6"/>
        <v>0</v>
      </c>
      <c r="U19" s="2">
        <f t="shared" si="7"/>
        <v>614829.4258</v>
      </c>
      <c r="V19" s="2">
        <f t="shared" si="8"/>
        <v>-41674.23576</v>
      </c>
    </row>
    <row r="20">
      <c r="A20" s="2" t="s">
        <v>23</v>
      </c>
      <c r="B20" s="3">
        <v>45717.0</v>
      </c>
      <c r="C20" s="2" t="s">
        <v>24</v>
      </c>
      <c r="D20" s="2" t="s">
        <v>16</v>
      </c>
      <c r="E20" s="2">
        <v>78831.12</v>
      </c>
      <c r="F20" s="2">
        <v>5538.0</v>
      </c>
      <c r="G20" s="2">
        <v>0.0</v>
      </c>
      <c r="H20" s="2">
        <v>15.0</v>
      </c>
      <c r="I20" s="2">
        <v>94.1</v>
      </c>
      <c r="J20" s="2">
        <v>0.2</v>
      </c>
      <c r="K20" s="2">
        <v>0.0</v>
      </c>
      <c r="L20" s="2">
        <v>3.9</v>
      </c>
      <c r="M20" s="2">
        <v>666573.2</v>
      </c>
      <c r="N20" s="2">
        <v>140641.02</v>
      </c>
      <c r="O20" s="2">
        <f t="shared" si="1"/>
        <v>0</v>
      </c>
      <c r="P20" s="2">
        <f t="shared" si="2"/>
        <v>0</v>
      </c>
      <c r="Q20" s="2">
        <f t="shared" si="3"/>
        <v>1</v>
      </c>
      <c r="R20" s="2">
        <f t="shared" si="4"/>
        <v>0</v>
      </c>
      <c r="S20" s="2">
        <f t="shared" si="5"/>
        <v>0</v>
      </c>
      <c r="T20" s="2">
        <f t="shared" si="6"/>
        <v>0</v>
      </c>
      <c r="U20" s="2">
        <f t="shared" si="7"/>
        <v>699709.7663</v>
      </c>
      <c r="V20" s="2">
        <f t="shared" si="8"/>
        <v>-33136.5663</v>
      </c>
    </row>
    <row r="21" ht="15.75" customHeight="1">
      <c r="A21" s="2" t="s">
        <v>23</v>
      </c>
      <c r="B21" s="3">
        <v>45748.0</v>
      </c>
      <c r="C21" s="2" t="s">
        <v>24</v>
      </c>
      <c r="D21" s="2" t="s">
        <v>16</v>
      </c>
      <c r="E21" s="2">
        <v>41441.93</v>
      </c>
      <c r="F21" s="2">
        <v>4865.0</v>
      </c>
      <c r="G21" s="2">
        <v>0.158</v>
      </c>
      <c r="H21" s="2">
        <v>16.0</v>
      </c>
      <c r="I21" s="2">
        <v>88.3</v>
      </c>
      <c r="J21" s="2">
        <v>0.5</v>
      </c>
      <c r="K21" s="2">
        <v>0.0</v>
      </c>
      <c r="L21" s="2">
        <v>4.0</v>
      </c>
      <c r="M21" s="2">
        <v>591619.95</v>
      </c>
      <c r="N21" s="2">
        <v>99521.35</v>
      </c>
      <c r="O21" s="2">
        <f t="shared" si="1"/>
        <v>0</v>
      </c>
      <c r="P21" s="2">
        <f t="shared" si="2"/>
        <v>0</v>
      </c>
      <c r="Q21" s="2">
        <f t="shared" si="3"/>
        <v>1</v>
      </c>
      <c r="R21" s="2">
        <f t="shared" si="4"/>
        <v>0</v>
      </c>
      <c r="S21" s="2">
        <f t="shared" si="5"/>
        <v>0</v>
      </c>
      <c r="T21" s="2">
        <f t="shared" si="6"/>
        <v>0</v>
      </c>
      <c r="U21" s="2">
        <f t="shared" si="7"/>
        <v>616223.1862</v>
      </c>
      <c r="V21" s="2">
        <f t="shared" si="8"/>
        <v>-24603.23619</v>
      </c>
    </row>
    <row r="22" ht="15.75" customHeight="1">
      <c r="A22" s="2" t="s">
        <v>25</v>
      </c>
      <c r="B22" s="3">
        <v>45658.0</v>
      </c>
      <c r="C22" s="2" t="s">
        <v>20</v>
      </c>
      <c r="D22" s="2" t="s">
        <v>16</v>
      </c>
      <c r="E22" s="2">
        <v>30356.28</v>
      </c>
      <c r="F22" s="2">
        <v>2822.0</v>
      </c>
      <c r="G22" s="2">
        <v>0.231</v>
      </c>
      <c r="H22" s="2">
        <v>9.0</v>
      </c>
      <c r="I22" s="2">
        <v>84.8</v>
      </c>
      <c r="J22" s="2">
        <v>6.95</v>
      </c>
      <c r="K22" s="2">
        <v>0.0</v>
      </c>
      <c r="L22" s="2">
        <v>5.0</v>
      </c>
      <c r="M22" s="2">
        <v>415721.82</v>
      </c>
      <c r="N22" s="2">
        <v>61179.15</v>
      </c>
      <c r="O22" s="2">
        <f t="shared" si="1"/>
        <v>0</v>
      </c>
      <c r="P22" s="2">
        <f t="shared" si="2"/>
        <v>1</v>
      </c>
      <c r="Q22" s="2">
        <f t="shared" si="3"/>
        <v>0</v>
      </c>
      <c r="R22" s="2">
        <f t="shared" si="4"/>
        <v>0</v>
      </c>
      <c r="S22" s="2">
        <f t="shared" si="5"/>
        <v>0</v>
      </c>
      <c r="T22" s="2">
        <f t="shared" si="6"/>
        <v>0</v>
      </c>
      <c r="U22" s="2">
        <f t="shared" si="7"/>
        <v>512627.4221</v>
      </c>
      <c r="V22" s="2">
        <f t="shared" si="8"/>
        <v>-96905.60208</v>
      </c>
    </row>
    <row r="23" ht="15.75" customHeight="1">
      <c r="A23" s="2" t="s">
        <v>25</v>
      </c>
      <c r="B23" s="3">
        <v>45689.0</v>
      </c>
      <c r="C23" s="2" t="s">
        <v>20</v>
      </c>
      <c r="D23" s="2" t="s">
        <v>16</v>
      </c>
      <c r="E23" s="2">
        <v>33518.88</v>
      </c>
      <c r="F23" s="2">
        <v>2121.0</v>
      </c>
      <c r="G23" s="2">
        <v>0.176</v>
      </c>
      <c r="H23" s="2">
        <v>8.0</v>
      </c>
      <c r="I23" s="2">
        <v>88.5</v>
      </c>
      <c r="J23" s="2">
        <v>0.2</v>
      </c>
      <c r="K23" s="2">
        <v>0.0</v>
      </c>
      <c r="L23" s="2">
        <v>5.0</v>
      </c>
      <c r="M23" s="2">
        <v>491905.13</v>
      </c>
      <c r="N23" s="2">
        <v>79212.26</v>
      </c>
      <c r="O23" s="2">
        <f t="shared" si="1"/>
        <v>0</v>
      </c>
      <c r="P23" s="2">
        <f t="shared" si="2"/>
        <v>1</v>
      </c>
      <c r="Q23" s="2">
        <f t="shared" si="3"/>
        <v>0</v>
      </c>
      <c r="R23" s="2">
        <f t="shared" si="4"/>
        <v>0</v>
      </c>
      <c r="S23" s="2">
        <f t="shared" si="5"/>
        <v>0</v>
      </c>
      <c r="T23" s="2">
        <f t="shared" si="6"/>
        <v>0</v>
      </c>
      <c r="U23" s="2">
        <f t="shared" si="7"/>
        <v>503065.2512</v>
      </c>
      <c r="V23" s="2">
        <f t="shared" si="8"/>
        <v>-11160.1212</v>
      </c>
    </row>
    <row r="24" ht="15.75" customHeight="1">
      <c r="A24" s="2" t="s">
        <v>25</v>
      </c>
      <c r="B24" s="3">
        <v>45717.0</v>
      </c>
      <c r="C24" s="2" t="s">
        <v>20</v>
      </c>
      <c r="D24" s="2" t="s">
        <v>16</v>
      </c>
      <c r="E24" s="2">
        <v>42267.37</v>
      </c>
      <c r="F24" s="2">
        <v>3364.0</v>
      </c>
      <c r="G24" s="2">
        <v>0.16</v>
      </c>
      <c r="H24" s="2">
        <v>13.0</v>
      </c>
      <c r="I24" s="2">
        <v>82.0</v>
      </c>
      <c r="J24" s="2">
        <v>1.61</v>
      </c>
      <c r="K24" s="2">
        <v>1.0</v>
      </c>
      <c r="L24" s="2">
        <v>4.6</v>
      </c>
      <c r="M24" s="2">
        <v>555929.4</v>
      </c>
      <c r="N24" s="2">
        <v>115201.76</v>
      </c>
      <c r="O24" s="2">
        <f t="shared" si="1"/>
        <v>0</v>
      </c>
      <c r="P24" s="2">
        <f t="shared" si="2"/>
        <v>1</v>
      </c>
      <c r="Q24" s="2">
        <f t="shared" si="3"/>
        <v>0</v>
      </c>
      <c r="R24" s="2">
        <f t="shared" si="4"/>
        <v>0</v>
      </c>
      <c r="S24" s="2">
        <f t="shared" si="5"/>
        <v>0</v>
      </c>
      <c r="T24" s="2">
        <f t="shared" si="6"/>
        <v>0</v>
      </c>
      <c r="U24" s="2">
        <f t="shared" si="7"/>
        <v>537220.8996</v>
      </c>
      <c r="V24" s="2">
        <f t="shared" si="8"/>
        <v>18708.5004</v>
      </c>
    </row>
    <row r="25" ht="15.75" customHeight="1">
      <c r="A25" s="2" t="s">
        <v>25</v>
      </c>
      <c r="B25" s="3">
        <v>45748.0</v>
      </c>
      <c r="C25" s="2" t="s">
        <v>20</v>
      </c>
      <c r="D25" s="2" t="s">
        <v>16</v>
      </c>
      <c r="E25" s="2">
        <v>62060.43</v>
      </c>
      <c r="F25" s="2">
        <v>2613.0</v>
      </c>
      <c r="G25" s="2">
        <v>0.216</v>
      </c>
      <c r="H25" s="2">
        <v>12.0</v>
      </c>
      <c r="I25" s="2">
        <v>92.1</v>
      </c>
      <c r="J25" s="2">
        <v>1.55</v>
      </c>
      <c r="K25" s="2">
        <v>0.0</v>
      </c>
      <c r="L25" s="2">
        <v>4.7</v>
      </c>
      <c r="M25" s="2">
        <v>565810.99</v>
      </c>
      <c r="N25" s="2">
        <v>77825.46</v>
      </c>
      <c r="O25" s="2">
        <f t="shared" si="1"/>
        <v>0</v>
      </c>
      <c r="P25" s="2">
        <f t="shared" si="2"/>
        <v>1</v>
      </c>
      <c r="Q25" s="2">
        <f t="shared" si="3"/>
        <v>0</v>
      </c>
      <c r="R25" s="2">
        <f t="shared" si="4"/>
        <v>0</v>
      </c>
      <c r="S25" s="2">
        <f t="shared" si="5"/>
        <v>0</v>
      </c>
      <c r="T25" s="2">
        <f t="shared" si="6"/>
        <v>0</v>
      </c>
      <c r="U25" s="2">
        <f t="shared" si="7"/>
        <v>563727.5021</v>
      </c>
      <c r="V25" s="2">
        <f t="shared" si="8"/>
        <v>2083.487851</v>
      </c>
    </row>
    <row r="26" ht="15.75" customHeight="1">
      <c r="A26" s="2" t="s">
        <v>26</v>
      </c>
      <c r="B26" s="3">
        <v>45658.0</v>
      </c>
      <c r="C26" s="2" t="s">
        <v>27</v>
      </c>
      <c r="D26" s="2" t="s">
        <v>28</v>
      </c>
      <c r="E26" s="2">
        <v>57696.69</v>
      </c>
      <c r="F26" s="2">
        <v>10218.0</v>
      </c>
      <c r="G26" s="2">
        <v>0.121</v>
      </c>
      <c r="H26" s="2">
        <v>25.0</v>
      </c>
      <c r="I26" s="2">
        <v>94.8</v>
      </c>
      <c r="J26" s="2">
        <v>2.99</v>
      </c>
      <c r="K26" s="2">
        <v>0.0</v>
      </c>
      <c r="L26" s="2">
        <v>3.5</v>
      </c>
      <c r="M26" s="2">
        <v>811771.14</v>
      </c>
      <c r="N26" s="2">
        <v>148756.24</v>
      </c>
      <c r="O26" s="2">
        <f t="shared" si="1"/>
        <v>0</v>
      </c>
      <c r="P26" s="2">
        <f t="shared" si="2"/>
        <v>0</v>
      </c>
      <c r="Q26" s="2">
        <f t="shared" si="3"/>
        <v>0</v>
      </c>
      <c r="R26" s="2">
        <f t="shared" si="4"/>
        <v>0</v>
      </c>
      <c r="S26" s="2">
        <f t="shared" si="5"/>
        <v>0</v>
      </c>
      <c r="T26" s="2">
        <f t="shared" si="6"/>
        <v>1</v>
      </c>
      <c r="U26" s="2">
        <f t="shared" si="7"/>
        <v>830659.4268</v>
      </c>
      <c r="V26" s="2">
        <f t="shared" si="8"/>
        <v>-18888.28681</v>
      </c>
    </row>
    <row r="27" ht="15.75" customHeight="1">
      <c r="A27" s="2" t="s">
        <v>26</v>
      </c>
      <c r="B27" s="3">
        <v>45689.0</v>
      </c>
      <c r="C27" s="2" t="s">
        <v>27</v>
      </c>
      <c r="D27" s="2" t="s">
        <v>28</v>
      </c>
      <c r="E27" s="2">
        <v>172415.52</v>
      </c>
      <c r="F27" s="2">
        <v>8927.0</v>
      </c>
      <c r="G27" s="2">
        <v>0.14</v>
      </c>
      <c r="H27" s="2">
        <v>22.0</v>
      </c>
      <c r="I27" s="2">
        <v>86.2</v>
      </c>
      <c r="J27" s="2">
        <v>7.04</v>
      </c>
      <c r="K27" s="2">
        <v>0.0</v>
      </c>
      <c r="L27" s="2">
        <v>3.9</v>
      </c>
      <c r="M27" s="2">
        <v>800451.94</v>
      </c>
      <c r="N27" s="2">
        <v>111572.29</v>
      </c>
      <c r="O27" s="2">
        <f t="shared" si="1"/>
        <v>0</v>
      </c>
      <c r="P27" s="2">
        <f t="shared" si="2"/>
        <v>0</v>
      </c>
      <c r="Q27" s="2">
        <f t="shared" si="3"/>
        <v>0</v>
      </c>
      <c r="R27" s="2">
        <f t="shared" si="4"/>
        <v>0</v>
      </c>
      <c r="S27" s="2">
        <f t="shared" si="5"/>
        <v>0</v>
      </c>
      <c r="T27" s="2">
        <f t="shared" si="6"/>
        <v>1</v>
      </c>
      <c r="U27" s="2">
        <f t="shared" si="7"/>
        <v>898777.1747</v>
      </c>
      <c r="V27" s="2">
        <f t="shared" si="8"/>
        <v>-98325.2347</v>
      </c>
    </row>
    <row r="28" ht="15.75" customHeight="1">
      <c r="A28" s="2" t="s">
        <v>26</v>
      </c>
      <c r="B28" s="3">
        <v>45717.0</v>
      </c>
      <c r="C28" s="2" t="s">
        <v>27</v>
      </c>
      <c r="D28" s="2" t="s">
        <v>28</v>
      </c>
      <c r="E28" s="2">
        <v>55270.52</v>
      </c>
      <c r="F28" s="2">
        <v>9315.0</v>
      </c>
      <c r="G28" s="2">
        <v>0.169</v>
      </c>
      <c r="H28" s="2">
        <v>23.0</v>
      </c>
      <c r="I28" s="2">
        <v>91.9</v>
      </c>
      <c r="J28" s="2">
        <v>4.94</v>
      </c>
      <c r="K28" s="2">
        <v>0.0</v>
      </c>
      <c r="L28" s="2">
        <v>4.0</v>
      </c>
      <c r="M28" s="2">
        <v>783672.82</v>
      </c>
      <c r="N28" s="2">
        <v>112577.14</v>
      </c>
      <c r="O28" s="2">
        <f t="shared" si="1"/>
        <v>0</v>
      </c>
      <c r="P28" s="2">
        <f t="shared" si="2"/>
        <v>0</v>
      </c>
      <c r="Q28" s="2">
        <f t="shared" si="3"/>
        <v>0</v>
      </c>
      <c r="R28" s="2">
        <f t="shared" si="4"/>
        <v>0</v>
      </c>
      <c r="S28" s="2">
        <f t="shared" si="5"/>
        <v>0</v>
      </c>
      <c r="T28" s="2">
        <f t="shared" si="6"/>
        <v>1</v>
      </c>
      <c r="U28" s="2">
        <f t="shared" si="7"/>
        <v>789027.7195</v>
      </c>
      <c r="V28" s="2">
        <f t="shared" si="8"/>
        <v>-5354.899503</v>
      </c>
    </row>
    <row r="29" ht="15.75" customHeight="1">
      <c r="A29" s="2" t="s">
        <v>26</v>
      </c>
      <c r="B29" s="3">
        <v>45748.0</v>
      </c>
      <c r="C29" s="2" t="s">
        <v>27</v>
      </c>
      <c r="D29" s="2" t="s">
        <v>28</v>
      </c>
      <c r="E29" s="2">
        <v>52715.1</v>
      </c>
      <c r="F29" s="2">
        <v>7223.0</v>
      </c>
      <c r="G29" s="2">
        <v>0.122</v>
      </c>
      <c r="H29" s="2">
        <v>16.0</v>
      </c>
      <c r="I29" s="2">
        <v>84.2</v>
      </c>
      <c r="J29" s="2">
        <v>16.15</v>
      </c>
      <c r="K29" s="2">
        <v>0.0</v>
      </c>
      <c r="L29" s="2">
        <v>3.7</v>
      </c>
      <c r="M29" s="2">
        <v>701641.97</v>
      </c>
      <c r="N29" s="2">
        <v>106111.86</v>
      </c>
      <c r="O29" s="2">
        <f t="shared" si="1"/>
        <v>0</v>
      </c>
      <c r="P29" s="2">
        <f t="shared" si="2"/>
        <v>0</v>
      </c>
      <c r="Q29" s="2">
        <f t="shared" si="3"/>
        <v>0</v>
      </c>
      <c r="R29" s="2">
        <f t="shared" si="4"/>
        <v>0</v>
      </c>
      <c r="S29" s="2">
        <f t="shared" si="5"/>
        <v>0</v>
      </c>
      <c r="T29" s="2">
        <f t="shared" si="6"/>
        <v>1</v>
      </c>
      <c r="U29" s="2">
        <f t="shared" si="7"/>
        <v>693448.6485</v>
      </c>
      <c r="V29" s="2">
        <f t="shared" si="8"/>
        <v>8193.321484</v>
      </c>
    </row>
    <row r="30" ht="15.75" customHeight="1">
      <c r="A30" s="2" t="s">
        <v>29</v>
      </c>
      <c r="B30" s="3">
        <v>45658.0</v>
      </c>
      <c r="C30" s="2" t="s">
        <v>15</v>
      </c>
      <c r="D30" s="2" t="s">
        <v>16</v>
      </c>
      <c r="E30" s="2">
        <v>68600.62</v>
      </c>
      <c r="F30" s="2">
        <v>3988.0</v>
      </c>
      <c r="G30" s="2">
        <v>0.124</v>
      </c>
      <c r="H30" s="2">
        <v>11.0</v>
      </c>
      <c r="I30" s="2">
        <v>85.0</v>
      </c>
      <c r="J30" s="2">
        <v>0.48</v>
      </c>
      <c r="K30" s="2">
        <v>0.0</v>
      </c>
      <c r="L30" s="2">
        <v>3.6</v>
      </c>
      <c r="M30" s="2">
        <v>511844.41</v>
      </c>
      <c r="N30" s="2">
        <v>72774.44</v>
      </c>
      <c r="O30" s="2">
        <f t="shared" si="1"/>
        <v>1</v>
      </c>
      <c r="P30" s="2">
        <f t="shared" si="2"/>
        <v>0</v>
      </c>
      <c r="Q30" s="2">
        <f t="shared" si="3"/>
        <v>0</v>
      </c>
      <c r="R30" s="2">
        <f t="shared" si="4"/>
        <v>0</v>
      </c>
      <c r="S30" s="2">
        <f t="shared" si="5"/>
        <v>0</v>
      </c>
      <c r="T30" s="2">
        <f t="shared" si="6"/>
        <v>0</v>
      </c>
      <c r="U30" s="2">
        <f t="shared" si="7"/>
        <v>587497.8634</v>
      </c>
      <c r="V30" s="2">
        <f t="shared" si="8"/>
        <v>-75653.45342</v>
      </c>
    </row>
    <row r="31" ht="15.75" customHeight="1">
      <c r="A31" s="2" t="s">
        <v>29</v>
      </c>
      <c r="B31" s="3">
        <v>45689.0</v>
      </c>
      <c r="C31" s="2" t="s">
        <v>15</v>
      </c>
      <c r="D31" s="2" t="s">
        <v>16</v>
      </c>
      <c r="E31" s="2">
        <v>63176.73</v>
      </c>
      <c r="F31" s="2">
        <v>2390.0</v>
      </c>
      <c r="G31" s="2">
        <v>0.216</v>
      </c>
      <c r="H31" s="2">
        <v>9.0</v>
      </c>
      <c r="I31" s="2">
        <v>87.5</v>
      </c>
      <c r="J31" s="2">
        <v>0.31</v>
      </c>
      <c r="K31" s="2">
        <v>0.0</v>
      </c>
      <c r="L31" s="2">
        <v>3.1</v>
      </c>
      <c r="M31" s="2">
        <v>537383.79</v>
      </c>
      <c r="N31" s="2">
        <v>63773.27</v>
      </c>
      <c r="O31" s="2">
        <f t="shared" si="1"/>
        <v>1</v>
      </c>
      <c r="P31" s="2">
        <f t="shared" si="2"/>
        <v>0</v>
      </c>
      <c r="Q31" s="2">
        <f t="shared" si="3"/>
        <v>0</v>
      </c>
      <c r="R31" s="2">
        <f t="shared" si="4"/>
        <v>0</v>
      </c>
      <c r="S31" s="2">
        <f t="shared" si="5"/>
        <v>0</v>
      </c>
      <c r="T31" s="2">
        <f t="shared" si="6"/>
        <v>0</v>
      </c>
      <c r="U31" s="2">
        <f t="shared" si="7"/>
        <v>533990.7951</v>
      </c>
      <c r="V31" s="2">
        <f t="shared" si="8"/>
        <v>3392.994943</v>
      </c>
    </row>
    <row r="32" ht="15.75" customHeight="1">
      <c r="A32" s="2" t="s">
        <v>29</v>
      </c>
      <c r="B32" s="3">
        <v>45717.0</v>
      </c>
      <c r="C32" s="2" t="s">
        <v>15</v>
      </c>
      <c r="D32" s="2" t="s">
        <v>16</v>
      </c>
      <c r="E32" s="2">
        <v>44970.08</v>
      </c>
      <c r="F32" s="2">
        <v>2471.0</v>
      </c>
      <c r="G32" s="2">
        <v>0.136</v>
      </c>
      <c r="H32" s="2">
        <v>11.0</v>
      </c>
      <c r="I32" s="2">
        <v>87.6</v>
      </c>
      <c r="J32" s="2">
        <v>3.01</v>
      </c>
      <c r="K32" s="2">
        <v>1.0</v>
      </c>
      <c r="L32" s="2">
        <v>3.7</v>
      </c>
      <c r="M32" s="2">
        <v>500173.02</v>
      </c>
      <c r="N32" s="2">
        <v>70982.05</v>
      </c>
      <c r="O32" s="2">
        <f t="shared" si="1"/>
        <v>1</v>
      </c>
      <c r="P32" s="2">
        <f t="shared" si="2"/>
        <v>0</v>
      </c>
      <c r="Q32" s="2">
        <f t="shared" si="3"/>
        <v>0</v>
      </c>
      <c r="R32" s="2">
        <f t="shared" si="4"/>
        <v>0</v>
      </c>
      <c r="S32" s="2">
        <f t="shared" si="5"/>
        <v>0</v>
      </c>
      <c r="T32" s="2">
        <f t="shared" si="6"/>
        <v>0</v>
      </c>
      <c r="U32" s="2">
        <f t="shared" si="7"/>
        <v>515419.7896</v>
      </c>
      <c r="V32" s="2">
        <f t="shared" si="8"/>
        <v>-15246.76959</v>
      </c>
    </row>
    <row r="33" ht="15.75" customHeight="1">
      <c r="A33" s="2" t="s">
        <v>29</v>
      </c>
      <c r="B33" s="3">
        <v>45748.0</v>
      </c>
      <c r="C33" s="2" t="s">
        <v>15</v>
      </c>
      <c r="D33" s="2" t="s">
        <v>16</v>
      </c>
      <c r="E33" s="2">
        <v>69816.35</v>
      </c>
      <c r="F33" s="2">
        <v>971.0</v>
      </c>
      <c r="G33" s="2">
        <v>0.168</v>
      </c>
      <c r="H33" s="2">
        <v>5.0</v>
      </c>
      <c r="I33" s="2">
        <v>89.9</v>
      </c>
      <c r="J33" s="2">
        <v>12.15</v>
      </c>
      <c r="K33" s="2">
        <v>0.0</v>
      </c>
      <c r="L33" s="2">
        <v>3.6</v>
      </c>
      <c r="M33" s="2">
        <v>427917.38</v>
      </c>
      <c r="N33" s="2">
        <v>81824.31</v>
      </c>
      <c r="O33" s="2">
        <f t="shared" si="1"/>
        <v>1</v>
      </c>
      <c r="P33" s="2">
        <f t="shared" si="2"/>
        <v>0</v>
      </c>
      <c r="Q33" s="2">
        <f t="shared" si="3"/>
        <v>0</v>
      </c>
      <c r="R33" s="2">
        <f t="shared" si="4"/>
        <v>0</v>
      </c>
      <c r="S33" s="2">
        <f t="shared" si="5"/>
        <v>0</v>
      </c>
      <c r="T33" s="2">
        <f t="shared" si="6"/>
        <v>0</v>
      </c>
      <c r="U33" s="2">
        <f t="shared" si="7"/>
        <v>500573.2752</v>
      </c>
      <c r="V33" s="2">
        <f t="shared" si="8"/>
        <v>-72655.89522</v>
      </c>
    </row>
    <row r="34" ht="15.75" customHeight="1">
      <c r="A34" s="2" t="s">
        <v>30</v>
      </c>
      <c r="B34" s="3">
        <v>45658.0</v>
      </c>
      <c r="C34" s="2" t="s">
        <v>20</v>
      </c>
      <c r="D34" s="2" t="s">
        <v>16</v>
      </c>
      <c r="E34" s="2">
        <v>54597.83</v>
      </c>
      <c r="F34" s="2">
        <v>9429.0</v>
      </c>
      <c r="G34" s="2">
        <v>0.188</v>
      </c>
      <c r="H34" s="2">
        <v>21.0</v>
      </c>
      <c r="I34" s="2">
        <v>83.3</v>
      </c>
      <c r="J34" s="2">
        <v>11.71</v>
      </c>
      <c r="K34" s="2">
        <v>0.0</v>
      </c>
      <c r="L34" s="2">
        <v>4.2</v>
      </c>
      <c r="M34" s="2">
        <v>641865.03</v>
      </c>
      <c r="N34" s="2">
        <v>81342.58</v>
      </c>
      <c r="O34" s="2">
        <f t="shared" si="1"/>
        <v>0</v>
      </c>
      <c r="P34" s="2">
        <f t="shared" si="2"/>
        <v>1</v>
      </c>
      <c r="Q34" s="2">
        <f t="shared" si="3"/>
        <v>0</v>
      </c>
      <c r="R34" s="2">
        <f t="shared" si="4"/>
        <v>0</v>
      </c>
      <c r="S34" s="2">
        <f t="shared" si="5"/>
        <v>0</v>
      </c>
      <c r="T34" s="2">
        <f t="shared" si="6"/>
        <v>0</v>
      </c>
      <c r="U34" s="2">
        <f t="shared" si="7"/>
        <v>760910.6245</v>
      </c>
      <c r="V34" s="2">
        <f t="shared" si="8"/>
        <v>-119045.5945</v>
      </c>
    </row>
    <row r="35" ht="15.75" customHeight="1">
      <c r="A35" s="2" t="s">
        <v>30</v>
      </c>
      <c r="B35" s="3">
        <v>45689.0</v>
      </c>
      <c r="C35" s="2" t="s">
        <v>20</v>
      </c>
      <c r="D35" s="2" t="s">
        <v>16</v>
      </c>
      <c r="E35" s="2">
        <v>73771.91</v>
      </c>
      <c r="F35" s="2">
        <v>11695.0</v>
      </c>
      <c r="G35" s="2">
        <v>0.07</v>
      </c>
      <c r="H35" s="2">
        <v>25.0</v>
      </c>
      <c r="I35" s="2">
        <v>84.7</v>
      </c>
      <c r="J35" s="2">
        <v>0.62</v>
      </c>
      <c r="K35" s="2">
        <v>0.0</v>
      </c>
      <c r="L35" s="2"/>
      <c r="M35" s="2">
        <v>799477.76</v>
      </c>
      <c r="N35" s="2">
        <v>164974.41</v>
      </c>
      <c r="O35" s="2">
        <f t="shared" si="1"/>
        <v>0</v>
      </c>
      <c r="P35" s="2">
        <f t="shared" si="2"/>
        <v>1</v>
      </c>
      <c r="Q35" s="2">
        <f t="shared" si="3"/>
        <v>0</v>
      </c>
      <c r="R35" s="2">
        <f t="shared" si="4"/>
        <v>0</v>
      </c>
      <c r="S35" s="2">
        <f t="shared" si="5"/>
        <v>0</v>
      </c>
      <c r="T35" s="2">
        <f t="shared" si="6"/>
        <v>0</v>
      </c>
      <c r="U35" s="2">
        <f t="shared" si="7"/>
        <v>864340.9523</v>
      </c>
      <c r="V35" s="2">
        <f t="shared" si="8"/>
        <v>-64863.19227</v>
      </c>
    </row>
    <row r="36" ht="15.75" customHeight="1">
      <c r="A36" s="2" t="s">
        <v>30</v>
      </c>
      <c r="B36" s="3">
        <v>45717.0</v>
      </c>
      <c r="C36" s="2" t="s">
        <v>20</v>
      </c>
      <c r="D36" s="2" t="s">
        <v>16</v>
      </c>
      <c r="E36" s="2">
        <v>74413.88</v>
      </c>
      <c r="F36" s="2">
        <v>9449.0</v>
      </c>
      <c r="G36" s="2">
        <v>0.039</v>
      </c>
      <c r="H36" s="2">
        <v>23.0</v>
      </c>
      <c r="I36" s="2">
        <v>92.1</v>
      </c>
      <c r="J36" s="2">
        <v>2.12</v>
      </c>
      <c r="K36" s="2">
        <v>0.0</v>
      </c>
      <c r="L36" s="2">
        <v>3.5</v>
      </c>
      <c r="M36" s="2">
        <v>798952.17</v>
      </c>
      <c r="N36" s="2">
        <v>161499.04</v>
      </c>
      <c r="O36" s="2">
        <f t="shared" si="1"/>
        <v>0</v>
      </c>
      <c r="P36" s="2">
        <f t="shared" si="2"/>
        <v>1</v>
      </c>
      <c r="Q36" s="2">
        <f t="shared" si="3"/>
        <v>0</v>
      </c>
      <c r="R36" s="2">
        <f t="shared" si="4"/>
        <v>0</v>
      </c>
      <c r="S36" s="2">
        <f t="shared" si="5"/>
        <v>0</v>
      </c>
      <c r="T36" s="2">
        <f t="shared" si="6"/>
        <v>0</v>
      </c>
      <c r="U36" s="2">
        <f t="shared" si="7"/>
        <v>809892.0644</v>
      </c>
      <c r="V36" s="2">
        <f t="shared" si="8"/>
        <v>-10939.8944</v>
      </c>
    </row>
    <row r="37" ht="15.75" customHeight="1">
      <c r="A37" s="2" t="s">
        <v>30</v>
      </c>
      <c r="B37" s="3">
        <v>45748.0</v>
      </c>
      <c r="C37" s="2" t="s">
        <v>20</v>
      </c>
      <c r="D37" s="2" t="s">
        <v>16</v>
      </c>
      <c r="E37" s="2">
        <v>52483.77</v>
      </c>
      <c r="F37" s="2">
        <v>10453.0</v>
      </c>
      <c r="G37" s="2">
        <v>0.247</v>
      </c>
      <c r="H37" s="2">
        <v>25.0</v>
      </c>
      <c r="I37" s="2">
        <v>99.0</v>
      </c>
      <c r="J37" s="2">
        <v>6.31</v>
      </c>
      <c r="K37" s="2">
        <v>0.0</v>
      </c>
      <c r="L37" s="2">
        <v>3.6</v>
      </c>
      <c r="M37" s="2">
        <v>800979.78</v>
      </c>
      <c r="N37" s="2">
        <v>149242.27</v>
      </c>
      <c r="O37" s="2">
        <f t="shared" si="1"/>
        <v>0</v>
      </c>
      <c r="P37" s="2">
        <f t="shared" si="2"/>
        <v>1</v>
      </c>
      <c r="Q37" s="2">
        <f t="shared" si="3"/>
        <v>0</v>
      </c>
      <c r="R37" s="2">
        <f t="shared" si="4"/>
        <v>0</v>
      </c>
      <c r="S37" s="2">
        <f t="shared" si="5"/>
        <v>0</v>
      </c>
      <c r="T37" s="2">
        <f t="shared" si="6"/>
        <v>0</v>
      </c>
      <c r="U37" s="2">
        <f t="shared" si="7"/>
        <v>837326.1631</v>
      </c>
      <c r="V37" s="2">
        <f t="shared" si="8"/>
        <v>-36346.38312</v>
      </c>
    </row>
    <row r="38" ht="15.75" customHeight="1">
      <c r="A38" s="2" t="s">
        <v>31</v>
      </c>
      <c r="B38" s="3">
        <v>45658.0</v>
      </c>
      <c r="C38" s="2" t="s">
        <v>20</v>
      </c>
      <c r="D38" s="2" t="s">
        <v>28</v>
      </c>
      <c r="E38" s="2">
        <v>75269.87</v>
      </c>
      <c r="F38" s="2">
        <v>8838.0</v>
      </c>
      <c r="G38" s="2">
        <v>0.092</v>
      </c>
      <c r="H38" s="2">
        <v>21.0</v>
      </c>
      <c r="I38" s="2">
        <v>83.1</v>
      </c>
      <c r="J38" s="2">
        <v>9.56</v>
      </c>
      <c r="K38" s="2">
        <v>1.0</v>
      </c>
      <c r="L38" s="2">
        <v>4.2</v>
      </c>
      <c r="M38" s="2">
        <v>820593.93</v>
      </c>
      <c r="N38" s="2">
        <v>115860.06</v>
      </c>
      <c r="O38" s="2">
        <f t="shared" si="1"/>
        <v>0</v>
      </c>
      <c r="P38" s="2">
        <f t="shared" si="2"/>
        <v>1</v>
      </c>
      <c r="Q38" s="2">
        <f t="shared" si="3"/>
        <v>0</v>
      </c>
      <c r="R38" s="2">
        <f t="shared" si="4"/>
        <v>0</v>
      </c>
      <c r="S38" s="2">
        <f t="shared" si="5"/>
        <v>0</v>
      </c>
      <c r="T38" s="2">
        <f t="shared" si="6"/>
        <v>1</v>
      </c>
      <c r="U38" s="2">
        <f t="shared" si="7"/>
        <v>764852.254</v>
      </c>
      <c r="V38" s="2">
        <f t="shared" si="8"/>
        <v>55741.676</v>
      </c>
    </row>
    <row r="39" ht="15.75" customHeight="1">
      <c r="A39" s="2" t="s">
        <v>31</v>
      </c>
      <c r="B39" s="3">
        <v>45689.0</v>
      </c>
      <c r="C39" s="2" t="s">
        <v>20</v>
      </c>
      <c r="D39" s="2" t="s">
        <v>28</v>
      </c>
      <c r="E39" s="2">
        <v>61245.41</v>
      </c>
      <c r="F39" s="2">
        <v>8156.0</v>
      </c>
      <c r="G39" s="2">
        <v>0.156</v>
      </c>
      <c r="H39" s="2">
        <v>19.0</v>
      </c>
      <c r="I39" s="2">
        <v>92.9</v>
      </c>
      <c r="J39" s="2">
        <v>9.05</v>
      </c>
      <c r="K39" s="2">
        <v>0.0</v>
      </c>
      <c r="L39" s="2">
        <v>3.8</v>
      </c>
      <c r="M39" s="2">
        <v>718330.53</v>
      </c>
      <c r="N39" s="2">
        <v>93247.9</v>
      </c>
      <c r="O39" s="2">
        <f t="shared" si="1"/>
        <v>0</v>
      </c>
      <c r="P39" s="2">
        <f t="shared" si="2"/>
        <v>1</v>
      </c>
      <c r="Q39" s="2">
        <f t="shared" si="3"/>
        <v>0</v>
      </c>
      <c r="R39" s="2">
        <f t="shared" si="4"/>
        <v>0</v>
      </c>
      <c r="S39" s="2">
        <f t="shared" si="5"/>
        <v>0</v>
      </c>
      <c r="T39" s="2">
        <f t="shared" si="6"/>
        <v>1</v>
      </c>
      <c r="U39" s="2">
        <f t="shared" si="7"/>
        <v>752737.2315</v>
      </c>
      <c r="V39" s="2">
        <f t="shared" si="8"/>
        <v>-34406.70153</v>
      </c>
    </row>
    <row r="40" ht="15.75" customHeight="1">
      <c r="A40" s="2" t="s">
        <v>31</v>
      </c>
      <c r="B40" s="3">
        <v>45717.0</v>
      </c>
      <c r="C40" s="2" t="s">
        <v>20</v>
      </c>
      <c r="D40" s="2" t="s">
        <v>28</v>
      </c>
      <c r="E40" s="2">
        <v>93381.26</v>
      </c>
      <c r="F40" s="2">
        <v>7562.0</v>
      </c>
      <c r="G40" s="2">
        <v>0.198</v>
      </c>
      <c r="H40" s="2">
        <v>19.0</v>
      </c>
      <c r="I40" s="2">
        <v>82.9</v>
      </c>
      <c r="J40" s="2">
        <v>5.05</v>
      </c>
      <c r="K40" s="2">
        <v>0.0</v>
      </c>
      <c r="L40" s="2">
        <v>4.0</v>
      </c>
      <c r="M40" s="2">
        <v>736633.4</v>
      </c>
      <c r="N40" s="2">
        <v>115654.66</v>
      </c>
      <c r="O40" s="2">
        <f t="shared" si="1"/>
        <v>0</v>
      </c>
      <c r="P40" s="2">
        <f t="shared" si="2"/>
        <v>1</v>
      </c>
      <c r="Q40" s="2">
        <f t="shared" si="3"/>
        <v>0</v>
      </c>
      <c r="R40" s="2">
        <f t="shared" si="4"/>
        <v>0</v>
      </c>
      <c r="S40" s="2">
        <f t="shared" si="5"/>
        <v>0</v>
      </c>
      <c r="T40" s="2">
        <f t="shared" si="6"/>
        <v>1</v>
      </c>
      <c r="U40" s="2">
        <f t="shared" si="7"/>
        <v>742557.9904</v>
      </c>
      <c r="V40" s="2">
        <f t="shared" si="8"/>
        <v>-5924.590362</v>
      </c>
    </row>
    <row r="41" ht="15.75" customHeight="1">
      <c r="A41" s="2" t="s">
        <v>31</v>
      </c>
      <c r="B41" s="3">
        <v>45748.0</v>
      </c>
      <c r="C41" s="2" t="s">
        <v>20</v>
      </c>
      <c r="D41" s="2" t="s">
        <v>28</v>
      </c>
      <c r="E41" s="2">
        <v>65012.19</v>
      </c>
      <c r="F41" s="2">
        <v>9598.0</v>
      </c>
      <c r="G41" s="2">
        <v>0.085</v>
      </c>
      <c r="H41" s="2">
        <v>24.0</v>
      </c>
      <c r="I41" s="2">
        <v>98.3</v>
      </c>
      <c r="J41" s="2">
        <v>0.89</v>
      </c>
      <c r="K41" s="2">
        <v>0.0</v>
      </c>
      <c r="L41" s="2">
        <v>3.8</v>
      </c>
      <c r="M41" s="2">
        <v>828623.85</v>
      </c>
      <c r="N41" s="2">
        <v>167320.52</v>
      </c>
      <c r="O41" s="2">
        <f t="shared" si="1"/>
        <v>0</v>
      </c>
      <c r="P41" s="2">
        <f t="shared" si="2"/>
        <v>1</v>
      </c>
      <c r="Q41" s="2">
        <f t="shared" si="3"/>
        <v>0</v>
      </c>
      <c r="R41" s="2">
        <f t="shared" si="4"/>
        <v>0</v>
      </c>
      <c r="S41" s="2">
        <f t="shared" si="5"/>
        <v>0</v>
      </c>
      <c r="T41" s="2">
        <f t="shared" si="6"/>
        <v>1</v>
      </c>
      <c r="U41" s="2">
        <f t="shared" si="7"/>
        <v>821258.3603</v>
      </c>
      <c r="V41" s="2">
        <f t="shared" si="8"/>
        <v>7365.48971</v>
      </c>
    </row>
    <row r="42" ht="15.75" customHeight="1">
      <c r="A42" s="2" t="s">
        <v>32</v>
      </c>
      <c r="B42" s="3">
        <v>45658.0</v>
      </c>
      <c r="C42" s="2" t="s">
        <v>15</v>
      </c>
      <c r="D42" s="2" t="s">
        <v>28</v>
      </c>
      <c r="E42" s="2">
        <v>40462.94</v>
      </c>
      <c r="F42" s="2">
        <v>3660.0</v>
      </c>
      <c r="G42" s="2">
        <v>0.218</v>
      </c>
      <c r="H42" s="2">
        <v>11.0</v>
      </c>
      <c r="I42" s="2">
        <v>95.2</v>
      </c>
      <c r="J42" s="2">
        <v>5.57</v>
      </c>
      <c r="K42" s="2">
        <v>0.0</v>
      </c>
      <c r="L42" s="2">
        <v>4.4</v>
      </c>
      <c r="M42" s="2">
        <v>592195.85</v>
      </c>
      <c r="N42" s="2">
        <v>92291.56</v>
      </c>
      <c r="O42" s="2">
        <f t="shared" si="1"/>
        <v>1</v>
      </c>
      <c r="P42" s="2">
        <f t="shared" si="2"/>
        <v>0</v>
      </c>
      <c r="Q42" s="2">
        <f t="shared" si="3"/>
        <v>0</v>
      </c>
      <c r="R42" s="2">
        <f t="shared" si="4"/>
        <v>0</v>
      </c>
      <c r="S42" s="2">
        <f t="shared" si="5"/>
        <v>0</v>
      </c>
      <c r="T42" s="2">
        <f t="shared" si="6"/>
        <v>1</v>
      </c>
      <c r="U42" s="2">
        <f t="shared" si="7"/>
        <v>571758.2769</v>
      </c>
      <c r="V42" s="2">
        <f t="shared" si="8"/>
        <v>20437.57309</v>
      </c>
    </row>
    <row r="43" ht="15.75" customHeight="1">
      <c r="A43" s="2" t="s">
        <v>32</v>
      </c>
      <c r="B43" s="3">
        <v>45689.0</v>
      </c>
      <c r="C43" s="2" t="s">
        <v>15</v>
      </c>
      <c r="D43" s="2" t="s">
        <v>28</v>
      </c>
      <c r="E43" s="2">
        <v>46123.88</v>
      </c>
      <c r="F43" s="2">
        <v>3227.0</v>
      </c>
      <c r="G43" s="2">
        <v>0.143</v>
      </c>
      <c r="H43" s="2">
        <v>10.0</v>
      </c>
      <c r="I43" s="2">
        <v>75.4</v>
      </c>
      <c r="J43" s="2">
        <v>1.06</v>
      </c>
      <c r="K43" s="2">
        <v>0.0</v>
      </c>
      <c r="L43" s="2">
        <v>4.4</v>
      </c>
      <c r="M43" s="2">
        <v>532644.46</v>
      </c>
      <c r="N43" s="2">
        <v>60681.32</v>
      </c>
      <c r="O43" s="2">
        <f t="shared" si="1"/>
        <v>1</v>
      </c>
      <c r="P43" s="2">
        <f t="shared" si="2"/>
        <v>0</v>
      </c>
      <c r="Q43" s="2">
        <f t="shared" si="3"/>
        <v>0</v>
      </c>
      <c r="R43" s="2">
        <f t="shared" si="4"/>
        <v>0</v>
      </c>
      <c r="S43" s="2">
        <f t="shared" si="5"/>
        <v>0</v>
      </c>
      <c r="T43" s="2">
        <f t="shared" si="6"/>
        <v>1</v>
      </c>
      <c r="U43" s="2">
        <f t="shared" si="7"/>
        <v>508010.879</v>
      </c>
      <c r="V43" s="2">
        <f t="shared" si="8"/>
        <v>24633.581</v>
      </c>
    </row>
    <row r="44" ht="15.75" customHeight="1">
      <c r="A44" s="2" t="s">
        <v>32</v>
      </c>
      <c r="B44" s="3">
        <v>45717.0</v>
      </c>
      <c r="C44" s="2" t="s">
        <v>15</v>
      </c>
      <c r="D44" s="2" t="s">
        <v>28</v>
      </c>
      <c r="E44" s="2">
        <v>68077.54</v>
      </c>
      <c r="F44" s="2">
        <v>3360.0</v>
      </c>
      <c r="G44" s="2">
        <v>0.128</v>
      </c>
      <c r="H44" s="2">
        <v>14.0</v>
      </c>
      <c r="I44" s="2">
        <v>88.2</v>
      </c>
      <c r="J44" s="2">
        <v>1.24</v>
      </c>
      <c r="K44" s="2">
        <v>1.0</v>
      </c>
      <c r="L44" s="2">
        <v>4.0</v>
      </c>
      <c r="M44" s="2">
        <v>657429.18</v>
      </c>
      <c r="N44" s="2">
        <v>88919.74</v>
      </c>
      <c r="O44" s="2">
        <f t="shared" si="1"/>
        <v>1</v>
      </c>
      <c r="P44" s="2">
        <f t="shared" si="2"/>
        <v>0</v>
      </c>
      <c r="Q44" s="2">
        <f t="shared" si="3"/>
        <v>0</v>
      </c>
      <c r="R44" s="2">
        <f t="shared" si="4"/>
        <v>0</v>
      </c>
      <c r="S44" s="2">
        <f t="shared" si="5"/>
        <v>0</v>
      </c>
      <c r="T44" s="2">
        <f t="shared" si="6"/>
        <v>1</v>
      </c>
      <c r="U44" s="2">
        <f t="shared" si="7"/>
        <v>574627.1008</v>
      </c>
      <c r="V44" s="2">
        <f t="shared" si="8"/>
        <v>82802.07915</v>
      </c>
    </row>
    <row r="45" ht="15.75" customHeight="1">
      <c r="A45" s="2" t="s">
        <v>32</v>
      </c>
      <c r="B45" s="3">
        <v>45748.0</v>
      </c>
      <c r="C45" s="2" t="s">
        <v>15</v>
      </c>
      <c r="D45" s="2" t="s">
        <v>28</v>
      </c>
      <c r="E45" s="2">
        <v>64882.14</v>
      </c>
      <c r="F45" s="2">
        <v>3642.0</v>
      </c>
      <c r="G45" s="2">
        <v>0.019</v>
      </c>
      <c r="H45" s="2">
        <v>13.0</v>
      </c>
      <c r="I45" s="2">
        <v>87.8</v>
      </c>
      <c r="J45" s="2">
        <v>4.52</v>
      </c>
      <c r="K45" s="2">
        <v>0.0</v>
      </c>
      <c r="L45" s="2">
        <v>4.2</v>
      </c>
      <c r="M45" s="2">
        <v>605178.0</v>
      </c>
      <c r="N45" s="2">
        <v>106958.74</v>
      </c>
      <c r="O45" s="2">
        <f t="shared" si="1"/>
        <v>1</v>
      </c>
      <c r="P45" s="2">
        <f t="shared" si="2"/>
        <v>0</v>
      </c>
      <c r="Q45" s="2">
        <f t="shared" si="3"/>
        <v>0</v>
      </c>
      <c r="R45" s="2">
        <f t="shared" si="4"/>
        <v>0</v>
      </c>
      <c r="S45" s="2">
        <f t="shared" si="5"/>
        <v>0</v>
      </c>
      <c r="T45" s="2">
        <f t="shared" si="6"/>
        <v>1</v>
      </c>
      <c r="U45" s="2">
        <f t="shared" si="7"/>
        <v>579259.9662</v>
      </c>
      <c r="V45" s="2">
        <f t="shared" si="8"/>
        <v>25918.03382</v>
      </c>
    </row>
    <row r="46" ht="15.75" customHeight="1">
      <c r="A46" s="2" t="s">
        <v>33</v>
      </c>
      <c r="B46" s="3">
        <v>45658.0</v>
      </c>
      <c r="C46" s="2" t="s">
        <v>27</v>
      </c>
      <c r="D46" s="2" t="s">
        <v>16</v>
      </c>
      <c r="E46" s="2">
        <v>138855.51</v>
      </c>
      <c r="F46" s="2">
        <v>5145.0</v>
      </c>
      <c r="G46" s="2">
        <v>0.06</v>
      </c>
      <c r="H46" s="2">
        <v>17.0</v>
      </c>
      <c r="I46" s="2">
        <v>88.2</v>
      </c>
      <c r="J46" s="2">
        <v>9.58</v>
      </c>
      <c r="K46" s="2">
        <v>0.0</v>
      </c>
      <c r="L46" s="2">
        <v>3.2</v>
      </c>
      <c r="M46" s="2">
        <v>595467.6</v>
      </c>
      <c r="N46" s="2">
        <v>104276.46</v>
      </c>
      <c r="O46" s="2">
        <f t="shared" si="1"/>
        <v>0</v>
      </c>
      <c r="P46" s="2">
        <f t="shared" si="2"/>
        <v>0</v>
      </c>
      <c r="Q46" s="2">
        <f t="shared" si="3"/>
        <v>0</v>
      </c>
      <c r="R46" s="2">
        <f t="shared" si="4"/>
        <v>0</v>
      </c>
      <c r="S46" s="2">
        <f t="shared" si="5"/>
        <v>0</v>
      </c>
      <c r="T46" s="2">
        <f t="shared" si="6"/>
        <v>0</v>
      </c>
      <c r="U46" s="2">
        <f t="shared" si="7"/>
        <v>736522.6902</v>
      </c>
      <c r="V46" s="2">
        <f t="shared" si="8"/>
        <v>-141055.0902</v>
      </c>
    </row>
    <row r="47" ht="15.75" customHeight="1">
      <c r="A47" s="2" t="s">
        <v>33</v>
      </c>
      <c r="B47" s="3">
        <v>45689.0</v>
      </c>
      <c r="C47" s="2" t="s">
        <v>27</v>
      </c>
      <c r="D47" s="2" t="s">
        <v>16</v>
      </c>
      <c r="E47" s="2">
        <v>63630.21</v>
      </c>
      <c r="F47" s="2">
        <v>4460.0</v>
      </c>
      <c r="G47" s="2">
        <v>0.235</v>
      </c>
      <c r="H47" s="2">
        <v>14.0</v>
      </c>
      <c r="I47" s="2">
        <v>98.6</v>
      </c>
      <c r="J47" s="2">
        <v>5.52</v>
      </c>
      <c r="K47" s="2">
        <v>0.0</v>
      </c>
      <c r="L47" s="2">
        <v>3.5</v>
      </c>
      <c r="M47" s="2">
        <v>599603.4</v>
      </c>
      <c r="N47" s="2">
        <v>112685.12</v>
      </c>
      <c r="O47" s="2">
        <f t="shared" si="1"/>
        <v>0</v>
      </c>
      <c r="P47" s="2">
        <f t="shared" si="2"/>
        <v>0</v>
      </c>
      <c r="Q47" s="2">
        <f t="shared" si="3"/>
        <v>0</v>
      </c>
      <c r="R47" s="2">
        <f t="shared" si="4"/>
        <v>0</v>
      </c>
      <c r="S47" s="2">
        <f t="shared" si="5"/>
        <v>0</v>
      </c>
      <c r="T47" s="2">
        <f t="shared" si="6"/>
        <v>0</v>
      </c>
      <c r="U47" s="2">
        <f t="shared" si="7"/>
        <v>653402.9279</v>
      </c>
      <c r="V47" s="2">
        <f t="shared" si="8"/>
        <v>-53799.52789</v>
      </c>
    </row>
    <row r="48" ht="15.75" customHeight="1">
      <c r="A48" s="2" t="s">
        <v>33</v>
      </c>
      <c r="B48" s="3">
        <v>45717.0</v>
      </c>
      <c r="C48" s="2" t="s">
        <v>27</v>
      </c>
      <c r="D48" s="2" t="s">
        <v>16</v>
      </c>
      <c r="E48" s="2">
        <v>50043.65</v>
      </c>
      <c r="F48" s="2">
        <v>3804.0</v>
      </c>
      <c r="G48" s="2">
        <v>0.113</v>
      </c>
      <c r="H48" s="2">
        <v>11.0</v>
      </c>
      <c r="I48" s="2">
        <v>90.9</v>
      </c>
      <c r="J48" s="2">
        <v>2.7</v>
      </c>
      <c r="K48" s="2">
        <v>1.0</v>
      </c>
      <c r="L48" s="2">
        <v>3.2</v>
      </c>
      <c r="M48" s="2">
        <v>614800.09</v>
      </c>
      <c r="N48" s="2">
        <v>100044.2</v>
      </c>
      <c r="O48" s="2">
        <f t="shared" si="1"/>
        <v>0</v>
      </c>
      <c r="P48" s="2">
        <f t="shared" si="2"/>
        <v>0</v>
      </c>
      <c r="Q48" s="2">
        <f t="shared" si="3"/>
        <v>0</v>
      </c>
      <c r="R48" s="2">
        <f t="shared" si="4"/>
        <v>0</v>
      </c>
      <c r="S48" s="2">
        <f t="shared" si="5"/>
        <v>0</v>
      </c>
      <c r="T48" s="2">
        <f t="shared" si="6"/>
        <v>0</v>
      </c>
      <c r="U48" s="2">
        <f t="shared" si="7"/>
        <v>593371.4539</v>
      </c>
      <c r="V48" s="2">
        <f t="shared" si="8"/>
        <v>21428.63612</v>
      </c>
    </row>
    <row r="49" ht="15.75" customHeight="1">
      <c r="A49" s="2" t="s">
        <v>33</v>
      </c>
      <c r="B49" s="3">
        <v>45748.0</v>
      </c>
      <c r="C49" s="2" t="s">
        <v>27</v>
      </c>
      <c r="D49" s="2" t="s">
        <v>16</v>
      </c>
      <c r="E49" s="2">
        <v>42093.84</v>
      </c>
      <c r="F49" s="2">
        <v>4074.0</v>
      </c>
      <c r="G49" s="2">
        <v>0.155</v>
      </c>
      <c r="H49" s="2">
        <v>15.0</v>
      </c>
      <c r="I49" s="2">
        <v>88.0</v>
      </c>
      <c r="J49" s="2">
        <v>9.64</v>
      </c>
      <c r="K49" s="2">
        <v>0.0</v>
      </c>
      <c r="L49" s="2">
        <v>3.3</v>
      </c>
      <c r="M49" s="2">
        <v>585365.73</v>
      </c>
      <c r="N49" s="2">
        <v>81011.52</v>
      </c>
      <c r="O49" s="2">
        <f t="shared" si="1"/>
        <v>0</v>
      </c>
      <c r="P49" s="2">
        <f t="shared" si="2"/>
        <v>0</v>
      </c>
      <c r="Q49" s="2">
        <f t="shared" si="3"/>
        <v>0</v>
      </c>
      <c r="R49" s="2">
        <f t="shared" si="4"/>
        <v>0</v>
      </c>
      <c r="S49" s="2">
        <f t="shared" si="5"/>
        <v>0</v>
      </c>
      <c r="T49" s="2">
        <f t="shared" si="6"/>
        <v>0</v>
      </c>
      <c r="U49" s="2">
        <f t="shared" si="7"/>
        <v>584913.2303</v>
      </c>
      <c r="V49" s="2">
        <f t="shared" si="8"/>
        <v>452.4997456</v>
      </c>
    </row>
    <row r="50" ht="15.75" customHeight="1">
      <c r="A50" s="2" t="s">
        <v>34</v>
      </c>
      <c r="B50" s="3">
        <v>45658.0</v>
      </c>
      <c r="C50" s="2" t="s">
        <v>20</v>
      </c>
      <c r="D50" s="2" t="s">
        <v>28</v>
      </c>
      <c r="E50" s="2">
        <v>46624.05</v>
      </c>
      <c r="F50" s="2">
        <v>5104.0</v>
      </c>
      <c r="G50" s="2">
        <v>0.109</v>
      </c>
      <c r="H50" s="2">
        <v>11.0</v>
      </c>
      <c r="I50" s="2">
        <v>97.3</v>
      </c>
      <c r="J50" s="2">
        <v>3.49</v>
      </c>
      <c r="K50" s="2">
        <v>1.0</v>
      </c>
      <c r="L50" s="2">
        <v>4.7</v>
      </c>
      <c r="M50" s="2">
        <v>622811.74</v>
      </c>
      <c r="N50" s="2">
        <v>109978.35</v>
      </c>
      <c r="O50" s="2">
        <f t="shared" si="1"/>
        <v>0</v>
      </c>
      <c r="P50" s="2">
        <f t="shared" si="2"/>
        <v>1</v>
      </c>
      <c r="Q50" s="2">
        <f t="shared" si="3"/>
        <v>0</v>
      </c>
      <c r="R50" s="2">
        <f t="shared" si="4"/>
        <v>0</v>
      </c>
      <c r="S50" s="2">
        <f t="shared" si="5"/>
        <v>0</v>
      </c>
      <c r="T50" s="2">
        <f t="shared" si="6"/>
        <v>1</v>
      </c>
      <c r="U50" s="2">
        <f t="shared" si="7"/>
        <v>644432.9531</v>
      </c>
      <c r="V50" s="2">
        <f t="shared" si="8"/>
        <v>-21621.21315</v>
      </c>
    </row>
    <row r="51" ht="15.75" customHeight="1">
      <c r="A51" s="2" t="s">
        <v>34</v>
      </c>
      <c r="B51" s="3">
        <v>45689.0</v>
      </c>
      <c r="C51" s="2" t="s">
        <v>20</v>
      </c>
      <c r="D51" s="2" t="s">
        <v>28</v>
      </c>
      <c r="E51" s="2">
        <v>49710.29</v>
      </c>
      <c r="F51" s="2">
        <v>5559.0</v>
      </c>
      <c r="G51" s="2">
        <v>0.218</v>
      </c>
      <c r="H51" s="2">
        <v>14.0</v>
      </c>
      <c r="I51" s="2">
        <v>71.0</v>
      </c>
      <c r="J51" s="2">
        <v>9.11</v>
      </c>
      <c r="K51" s="2">
        <v>0.0</v>
      </c>
      <c r="L51" s="2">
        <v>4.6</v>
      </c>
      <c r="M51" s="2">
        <v>603297.57</v>
      </c>
      <c r="N51" s="2">
        <v>60592.26</v>
      </c>
      <c r="O51" s="2">
        <f t="shared" si="1"/>
        <v>0</v>
      </c>
      <c r="P51" s="2">
        <f t="shared" si="2"/>
        <v>1</v>
      </c>
      <c r="Q51" s="2">
        <f t="shared" si="3"/>
        <v>0</v>
      </c>
      <c r="R51" s="2">
        <f t="shared" si="4"/>
        <v>0</v>
      </c>
      <c r="S51" s="2">
        <f t="shared" si="5"/>
        <v>0</v>
      </c>
      <c r="T51" s="2">
        <f t="shared" si="6"/>
        <v>1</v>
      </c>
      <c r="U51" s="2">
        <f t="shared" si="7"/>
        <v>589387.4811</v>
      </c>
      <c r="V51" s="2">
        <f t="shared" si="8"/>
        <v>13910.08891</v>
      </c>
    </row>
    <row r="52" ht="15.75" customHeight="1">
      <c r="A52" s="2" t="s">
        <v>34</v>
      </c>
      <c r="B52" s="3">
        <v>45717.0</v>
      </c>
      <c r="C52" s="2" t="s">
        <v>20</v>
      </c>
      <c r="D52" s="2" t="s">
        <v>28</v>
      </c>
      <c r="E52" s="2">
        <v>48287.85</v>
      </c>
      <c r="F52" s="2">
        <v>5150.0</v>
      </c>
      <c r="G52" s="2">
        <v>0.008</v>
      </c>
      <c r="H52" s="2">
        <v>12.0</v>
      </c>
      <c r="I52" s="2">
        <v>80.4</v>
      </c>
      <c r="J52" s="2">
        <v>7.4</v>
      </c>
      <c r="K52" s="2">
        <v>0.0</v>
      </c>
      <c r="L52" s="2">
        <v>4.5</v>
      </c>
      <c r="M52" s="2">
        <v>625672.86</v>
      </c>
      <c r="N52" s="2">
        <v>118020.12</v>
      </c>
      <c r="O52" s="2">
        <f t="shared" si="1"/>
        <v>0</v>
      </c>
      <c r="P52" s="2">
        <f t="shared" si="2"/>
        <v>1</v>
      </c>
      <c r="Q52" s="2">
        <f t="shared" si="3"/>
        <v>0</v>
      </c>
      <c r="R52" s="2">
        <f t="shared" si="4"/>
        <v>0</v>
      </c>
      <c r="S52" s="2">
        <f t="shared" si="5"/>
        <v>0</v>
      </c>
      <c r="T52" s="2">
        <f t="shared" si="6"/>
        <v>1</v>
      </c>
      <c r="U52" s="2">
        <f t="shared" si="7"/>
        <v>600338.7932</v>
      </c>
      <c r="V52" s="2">
        <f t="shared" si="8"/>
        <v>25334.06684</v>
      </c>
    </row>
    <row r="53" ht="15.75" customHeight="1">
      <c r="A53" s="2" t="s">
        <v>34</v>
      </c>
      <c r="B53" s="3">
        <v>45748.0</v>
      </c>
      <c r="C53" s="2" t="s">
        <v>20</v>
      </c>
      <c r="D53" s="2" t="s">
        <v>28</v>
      </c>
      <c r="E53" s="2">
        <v>65312.49</v>
      </c>
      <c r="F53" s="2">
        <v>7189.0</v>
      </c>
      <c r="G53" s="2">
        <v>0.05</v>
      </c>
      <c r="H53" s="2">
        <v>19.0</v>
      </c>
      <c r="I53" s="2">
        <v>93.7</v>
      </c>
      <c r="J53" s="2">
        <v>7.16</v>
      </c>
      <c r="K53" s="2">
        <v>0.0</v>
      </c>
      <c r="L53" s="2">
        <v>4.6</v>
      </c>
      <c r="M53" s="2">
        <v>773815.14</v>
      </c>
      <c r="N53" s="2">
        <v>133948.39</v>
      </c>
      <c r="O53" s="2">
        <f t="shared" si="1"/>
        <v>0</v>
      </c>
      <c r="P53" s="2">
        <f t="shared" si="2"/>
        <v>1</v>
      </c>
      <c r="Q53" s="2">
        <f t="shared" si="3"/>
        <v>0</v>
      </c>
      <c r="R53" s="2">
        <f t="shared" si="4"/>
        <v>0</v>
      </c>
      <c r="S53" s="2">
        <f t="shared" si="5"/>
        <v>0</v>
      </c>
      <c r="T53" s="2">
        <f t="shared" si="6"/>
        <v>1</v>
      </c>
      <c r="U53" s="2">
        <f t="shared" si="7"/>
        <v>727066.9976</v>
      </c>
      <c r="V53" s="2">
        <f t="shared" si="8"/>
        <v>46748.14236</v>
      </c>
    </row>
    <row r="54" ht="15.75" customHeight="1">
      <c r="A54" s="2" t="s">
        <v>35</v>
      </c>
      <c r="B54" s="3">
        <v>45658.0</v>
      </c>
      <c r="C54" s="2" t="s">
        <v>27</v>
      </c>
      <c r="D54" s="2" t="s">
        <v>18</v>
      </c>
      <c r="E54" s="2">
        <v>53015.46</v>
      </c>
      <c r="F54" s="2">
        <v>3279.0</v>
      </c>
      <c r="G54" s="2">
        <v>0.087</v>
      </c>
      <c r="H54" s="2">
        <v>9.0</v>
      </c>
      <c r="I54" s="2">
        <v>84.3</v>
      </c>
      <c r="J54" s="2">
        <v>22.02</v>
      </c>
      <c r="K54" s="2">
        <v>0.0</v>
      </c>
      <c r="L54" s="2">
        <v>3.9</v>
      </c>
      <c r="M54" s="2">
        <v>463534.25</v>
      </c>
      <c r="N54" s="2">
        <v>81834.54</v>
      </c>
      <c r="O54" s="2">
        <f t="shared" si="1"/>
        <v>0</v>
      </c>
      <c r="P54" s="2">
        <f t="shared" si="2"/>
        <v>0</v>
      </c>
      <c r="Q54" s="2">
        <f t="shared" si="3"/>
        <v>0</v>
      </c>
      <c r="R54" s="2">
        <f t="shared" si="4"/>
        <v>0</v>
      </c>
      <c r="S54" s="2">
        <f t="shared" si="5"/>
        <v>1</v>
      </c>
      <c r="T54" s="2">
        <f t="shared" si="6"/>
        <v>0</v>
      </c>
      <c r="U54" s="2">
        <f t="shared" si="7"/>
        <v>560517.2555</v>
      </c>
      <c r="V54" s="2">
        <f t="shared" si="8"/>
        <v>-96983.00553</v>
      </c>
    </row>
    <row r="55" ht="15.75" customHeight="1">
      <c r="A55" s="2" t="s">
        <v>35</v>
      </c>
      <c r="B55" s="3">
        <v>45689.0</v>
      </c>
      <c r="C55" s="2" t="s">
        <v>27</v>
      </c>
      <c r="D55" s="2" t="s">
        <v>18</v>
      </c>
      <c r="E55" s="2">
        <v>99874.01</v>
      </c>
      <c r="F55" s="2">
        <v>5887.0</v>
      </c>
      <c r="G55" s="2">
        <v>0.262</v>
      </c>
      <c r="H55" s="2">
        <v>14.0</v>
      </c>
      <c r="I55" s="2">
        <v>88.7</v>
      </c>
      <c r="J55" s="2">
        <v>6.18</v>
      </c>
      <c r="K55" s="2">
        <v>0.0</v>
      </c>
      <c r="L55" s="2">
        <v>4.7</v>
      </c>
      <c r="M55" s="2">
        <v>746677.75</v>
      </c>
      <c r="N55" s="2">
        <v>122437.84</v>
      </c>
      <c r="O55" s="2">
        <f t="shared" si="1"/>
        <v>0</v>
      </c>
      <c r="P55" s="2">
        <f t="shared" si="2"/>
        <v>0</v>
      </c>
      <c r="Q55" s="2">
        <f t="shared" si="3"/>
        <v>0</v>
      </c>
      <c r="R55" s="2">
        <f t="shared" si="4"/>
        <v>0</v>
      </c>
      <c r="S55" s="2">
        <f t="shared" si="5"/>
        <v>1</v>
      </c>
      <c r="T55" s="2">
        <f t="shared" si="6"/>
        <v>0</v>
      </c>
      <c r="U55" s="2">
        <f t="shared" si="7"/>
        <v>716822.3772</v>
      </c>
      <c r="V55" s="2">
        <f t="shared" si="8"/>
        <v>29855.3728</v>
      </c>
    </row>
    <row r="56" ht="15.75" customHeight="1">
      <c r="A56" s="2" t="s">
        <v>35</v>
      </c>
      <c r="B56" s="3">
        <v>45717.0</v>
      </c>
      <c r="C56" s="2" t="s">
        <v>27</v>
      </c>
      <c r="D56" s="2" t="s">
        <v>18</v>
      </c>
      <c r="E56" s="2">
        <v>81195.5</v>
      </c>
      <c r="F56" s="2">
        <v>5516.0</v>
      </c>
      <c r="G56" s="2">
        <v>0.106</v>
      </c>
      <c r="H56" s="2">
        <v>14.0</v>
      </c>
      <c r="I56" s="2">
        <v>88.0</v>
      </c>
      <c r="J56" s="2">
        <v>1.76</v>
      </c>
      <c r="K56" s="2">
        <v>0.0</v>
      </c>
      <c r="L56" s="2">
        <v>4.3</v>
      </c>
      <c r="M56" s="2">
        <v>720852.5</v>
      </c>
      <c r="N56" s="2">
        <v>98565.62</v>
      </c>
      <c r="O56" s="2">
        <f t="shared" si="1"/>
        <v>0</v>
      </c>
      <c r="P56" s="2">
        <f t="shared" si="2"/>
        <v>0</v>
      </c>
      <c r="Q56" s="2">
        <f t="shared" si="3"/>
        <v>0</v>
      </c>
      <c r="R56" s="2">
        <f t="shared" si="4"/>
        <v>0</v>
      </c>
      <c r="S56" s="2">
        <f t="shared" si="5"/>
        <v>1</v>
      </c>
      <c r="T56" s="2">
        <f t="shared" si="6"/>
        <v>0</v>
      </c>
      <c r="U56" s="2">
        <f t="shared" si="7"/>
        <v>680129.5483</v>
      </c>
      <c r="V56" s="2">
        <f t="shared" si="8"/>
        <v>40722.95172</v>
      </c>
    </row>
    <row r="57" ht="15.75" customHeight="1">
      <c r="A57" s="2" t="s">
        <v>35</v>
      </c>
      <c r="B57" s="3">
        <v>45748.0</v>
      </c>
      <c r="C57" s="2" t="s">
        <v>27</v>
      </c>
      <c r="D57" s="2" t="s">
        <v>18</v>
      </c>
      <c r="E57" s="2">
        <v>27808.6</v>
      </c>
      <c r="F57" s="2">
        <v>2863.0</v>
      </c>
      <c r="G57" s="2">
        <v>0.08</v>
      </c>
      <c r="H57" s="2">
        <v>13.0</v>
      </c>
      <c r="I57" s="2">
        <v>89.3</v>
      </c>
      <c r="J57" s="2">
        <v>0.47</v>
      </c>
      <c r="K57" s="2">
        <v>0.0</v>
      </c>
      <c r="L57" s="2">
        <v>4.1</v>
      </c>
      <c r="M57" s="2">
        <v>487464.91</v>
      </c>
      <c r="N57" s="2">
        <v>64562.26</v>
      </c>
      <c r="O57" s="2">
        <f t="shared" si="1"/>
        <v>0</v>
      </c>
      <c r="P57" s="2">
        <f t="shared" si="2"/>
        <v>0</v>
      </c>
      <c r="Q57" s="2">
        <f t="shared" si="3"/>
        <v>0</v>
      </c>
      <c r="R57" s="2">
        <f t="shared" si="4"/>
        <v>0</v>
      </c>
      <c r="S57" s="2">
        <f t="shared" si="5"/>
        <v>1</v>
      </c>
      <c r="T57" s="2">
        <f t="shared" si="6"/>
        <v>0</v>
      </c>
      <c r="U57" s="2">
        <f t="shared" si="7"/>
        <v>530619.8225</v>
      </c>
      <c r="V57" s="2">
        <f t="shared" si="8"/>
        <v>-43154.91248</v>
      </c>
    </row>
    <row r="58" ht="15.75" customHeight="1">
      <c r="A58" s="2" t="s">
        <v>36</v>
      </c>
      <c r="B58" s="3">
        <v>45658.0</v>
      </c>
      <c r="C58" s="2" t="s">
        <v>15</v>
      </c>
      <c r="D58" s="2" t="s">
        <v>21</v>
      </c>
      <c r="E58" s="2">
        <v>19365.06</v>
      </c>
      <c r="F58" s="2">
        <v>2378.0</v>
      </c>
      <c r="G58" s="2">
        <v>0.0</v>
      </c>
      <c r="H58" s="2">
        <v>12.0</v>
      </c>
      <c r="I58" s="2">
        <v>94.8</v>
      </c>
      <c r="J58" s="2">
        <v>0.2</v>
      </c>
      <c r="K58" s="2">
        <v>0.0</v>
      </c>
      <c r="L58" s="2">
        <v>3.5</v>
      </c>
      <c r="M58" s="2">
        <v>518049.26</v>
      </c>
      <c r="N58" s="2">
        <v>108592.49</v>
      </c>
      <c r="O58" s="2">
        <f t="shared" si="1"/>
        <v>1</v>
      </c>
      <c r="P58" s="2">
        <f t="shared" si="2"/>
        <v>0</v>
      </c>
      <c r="Q58" s="2">
        <f t="shared" si="3"/>
        <v>0</v>
      </c>
      <c r="R58" s="2">
        <f t="shared" si="4"/>
        <v>1</v>
      </c>
      <c r="S58" s="2">
        <f t="shared" si="5"/>
        <v>0</v>
      </c>
      <c r="T58" s="2">
        <f t="shared" si="6"/>
        <v>0</v>
      </c>
      <c r="U58" s="2">
        <f t="shared" si="7"/>
        <v>502188.7306</v>
      </c>
      <c r="V58" s="2">
        <f t="shared" si="8"/>
        <v>15860.52943</v>
      </c>
    </row>
    <row r="59" ht="15.75" customHeight="1">
      <c r="A59" s="2" t="s">
        <v>36</v>
      </c>
      <c r="B59" s="3">
        <v>45689.0</v>
      </c>
      <c r="C59" s="2" t="s">
        <v>15</v>
      </c>
      <c r="D59" s="2" t="s">
        <v>21</v>
      </c>
      <c r="E59" s="2">
        <v>59405.68</v>
      </c>
      <c r="F59" s="2">
        <v>2515.0</v>
      </c>
      <c r="G59" s="2">
        <v>0.039</v>
      </c>
      <c r="H59" s="2">
        <v>12.0</v>
      </c>
      <c r="I59" s="2">
        <v>76.0</v>
      </c>
      <c r="J59" s="2">
        <v>5.11</v>
      </c>
      <c r="K59" s="2">
        <v>0.0</v>
      </c>
      <c r="L59" s="2">
        <v>3.7</v>
      </c>
      <c r="M59" s="2">
        <v>500298.48</v>
      </c>
      <c r="N59" s="2">
        <v>73461.32</v>
      </c>
      <c r="O59" s="2">
        <f t="shared" si="1"/>
        <v>1</v>
      </c>
      <c r="P59" s="2">
        <f t="shared" si="2"/>
        <v>0</v>
      </c>
      <c r="Q59" s="2">
        <f t="shared" si="3"/>
        <v>0</v>
      </c>
      <c r="R59" s="2">
        <f t="shared" si="4"/>
        <v>1</v>
      </c>
      <c r="S59" s="2">
        <f t="shared" si="5"/>
        <v>0</v>
      </c>
      <c r="T59" s="2">
        <f t="shared" si="6"/>
        <v>0</v>
      </c>
      <c r="U59" s="2">
        <f t="shared" si="7"/>
        <v>501343.1189</v>
      </c>
      <c r="V59" s="2">
        <f t="shared" si="8"/>
        <v>-1044.638889</v>
      </c>
    </row>
    <row r="60" ht="15.75" customHeight="1">
      <c r="A60" s="2" t="s">
        <v>36</v>
      </c>
      <c r="B60" s="3">
        <v>45717.0</v>
      </c>
      <c r="C60" s="2" t="s">
        <v>15</v>
      </c>
      <c r="D60" s="2" t="s">
        <v>21</v>
      </c>
      <c r="E60" s="2">
        <v>118910.48</v>
      </c>
      <c r="F60" s="2">
        <v>4022.0</v>
      </c>
      <c r="G60" s="2">
        <v>0.137</v>
      </c>
      <c r="H60" s="2">
        <v>11.0</v>
      </c>
      <c r="I60" s="2">
        <v>87.1</v>
      </c>
      <c r="J60" s="2">
        <v>0.2</v>
      </c>
      <c r="K60" s="2">
        <v>0.0</v>
      </c>
      <c r="L60" s="2">
        <v>3.1</v>
      </c>
      <c r="M60" s="2">
        <v>617291.15</v>
      </c>
      <c r="N60" s="2">
        <v>117782.0</v>
      </c>
      <c r="O60" s="2">
        <f t="shared" si="1"/>
        <v>1</v>
      </c>
      <c r="P60" s="2">
        <f t="shared" si="2"/>
        <v>0</v>
      </c>
      <c r="Q60" s="2">
        <f t="shared" si="3"/>
        <v>0</v>
      </c>
      <c r="R60" s="2">
        <f t="shared" si="4"/>
        <v>1</v>
      </c>
      <c r="S60" s="2">
        <f t="shared" si="5"/>
        <v>0</v>
      </c>
      <c r="T60" s="2">
        <f t="shared" si="6"/>
        <v>0</v>
      </c>
      <c r="U60" s="2">
        <f t="shared" si="7"/>
        <v>654242.836</v>
      </c>
      <c r="V60" s="2">
        <f t="shared" si="8"/>
        <v>-36951.68596</v>
      </c>
    </row>
    <row r="61" ht="15.75" customHeight="1">
      <c r="A61" s="2" t="s">
        <v>36</v>
      </c>
      <c r="B61" s="3">
        <v>45748.0</v>
      </c>
      <c r="C61" s="2" t="s">
        <v>15</v>
      </c>
      <c r="D61" s="2" t="s">
        <v>21</v>
      </c>
      <c r="E61" s="2">
        <v>52952.12</v>
      </c>
      <c r="F61" s="2">
        <v>4377.0</v>
      </c>
      <c r="G61" s="2">
        <v>0.092</v>
      </c>
      <c r="H61" s="2">
        <v>14.0</v>
      </c>
      <c r="I61" s="2">
        <v>88.6</v>
      </c>
      <c r="J61" s="2">
        <v>13.59</v>
      </c>
      <c r="K61" s="2">
        <v>0.0</v>
      </c>
      <c r="L61" s="2">
        <v>3.1</v>
      </c>
      <c r="M61" s="2">
        <v>553756.43</v>
      </c>
      <c r="N61" s="2">
        <v>86166.77</v>
      </c>
      <c r="O61" s="2">
        <f t="shared" si="1"/>
        <v>1</v>
      </c>
      <c r="P61" s="2">
        <f t="shared" si="2"/>
        <v>0</v>
      </c>
      <c r="Q61" s="2">
        <f t="shared" si="3"/>
        <v>0</v>
      </c>
      <c r="R61" s="2">
        <f t="shared" si="4"/>
        <v>1</v>
      </c>
      <c r="S61" s="2">
        <f t="shared" si="5"/>
        <v>0</v>
      </c>
      <c r="T61" s="2">
        <f t="shared" si="6"/>
        <v>0</v>
      </c>
      <c r="U61" s="2">
        <f t="shared" si="7"/>
        <v>592255.3952</v>
      </c>
      <c r="V61" s="2">
        <f t="shared" si="8"/>
        <v>-38498.96516</v>
      </c>
    </row>
    <row r="62" ht="15.75" customHeight="1">
      <c r="A62" s="2" t="s">
        <v>37</v>
      </c>
      <c r="B62" s="3">
        <v>45658.0</v>
      </c>
      <c r="C62" s="2" t="s">
        <v>24</v>
      </c>
      <c r="D62" s="2" t="s">
        <v>18</v>
      </c>
      <c r="E62" s="2">
        <v>74907.98</v>
      </c>
      <c r="F62" s="2">
        <v>5306.0</v>
      </c>
      <c r="G62" s="2">
        <v>0.062</v>
      </c>
      <c r="H62" s="2">
        <v>16.0</v>
      </c>
      <c r="I62" s="2">
        <v>95.6</v>
      </c>
      <c r="J62" s="2">
        <v>1.02</v>
      </c>
      <c r="K62" s="2">
        <v>0.0</v>
      </c>
      <c r="L62" s="2">
        <v>3.7</v>
      </c>
      <c r="M62" s="2">
        <v>749559.71</v>
      </c>
      <c r="N62" s="2">
        <v>144522.53</v>
      </c>
      <c r="O62" s="2">
        <f t="shared" si="1"/>
        <v>0</v>
      </c>
      <c r="P62" s="2">
        <f t="shared" si="2"/>
        <v>0</v>
      </c>
      <c r="Q62" s="2">
        <f t="shared" si="3"/>
        <v>1</v>
      </c>
      <c r="R62" s="2">
        <f t="shared" si="4"/>
        <v>0</v>
      </c>
      <c r="S62" s="2">
        <f t="shared" si="5"/>
        <v>1</v>
      </c>
      <c r="T62" s="2">
        <f t="shared" si="6"/>
        <v>0</v>
      </c>
      <c r="U62" s="2">
        <f t="shared" si="7"/>
        <v>691426.3866</v>
      </c>
      <c r="V62" s="2">
        <f t="shared" si="8"/>
        <v>58133.32344</v>
      </c>
    </row>
    <row r="63" ht="15.75" customHeight="1">
      <c r="A63" s="2" t="s">
        <v>37</v>
      </c>
      <c r="B63" s="3">
        <v>45689.0</v>
      </c>
      <c r="C63" s="2" t="s">
        <v>24</v>
      </c>
      <c r="D63" s="2" t="s">
        <v>18</v>
      </c>
      <c r="E63" s="2">
        <v>37284.66</v>
      </c>
      <c r="F63" s="2">
        <v>3928.0</v>
      </c>
      <c r="G63" s="2">
        <v>0.074</v>
      </c>
      <c r="H63" s="2">
        <v>12.0</v>
      </c>
      <c r="I63" s="2">
        <v>86.5</v>
      </c>
      <c r="J63" s="2">
        <v>1.64</v>
      </c>
      <c r="K63" s="2">
        <v>0.0</v>
      </c>
      <c r="L63" s="2">
        <v>3.8</v>
      </c>
      <c r="M63" s="2">
        <v>615966.48</v>
      </c>
      <c r="N63" s="2">
        <v>91509.38</v>
      </c>
      <c r="O63" s="2">
        <f t="shared" si="1"/>
        <v>0</v>
      </c>
      <c r="P63" s="2">
        <f t="shared" si="2"/>
        <v>0</v>
      </c>
      <c r="Q63" s="2">
        <f t="shared" si="3"/>
        <v>1</v>
      </c>
      <c r="R63" s="2">
        <f t="shared" si="4"/>
        <v>0</v>
      </c>
      <c r="S63" s="2">
        <f t="shared" si="5"/>
        <v>1</v>
      </c>
      <c r="T63" s="2">
        <f t="shared" si="6"/>
        <v>0</v>
      </c>
      <c r="U63" s="2">
        <f t="shared" si="7"/>
        <v>574486.5443</v>
      </c>
      <c r="V63" s="2">
        <f t="shared" si="8"/>
        <v>41479.93569</v>
      </c>
    </row>
    <row r="64" ht="15.75" customHeight="1">
      <c r="A64" s="2" t="s">
        <v>37</v>
      </c>
      <c r="B64" s="3">
        <v>45717.0</v>
      </c>
      <c r="C64" s="2" t="s">
        <v>24</v>
      </c>
      <c r="D64" s="2" t="s">
        <v>18</v>
      </c>
      <c r="E64" s="2">
        <v>50343.19</v>
      </c>
      <c r="F64" s="2">
        <v>3845.0</v>
      </c>
      <c r="G64" s="2">
        <v>0.113</v>
      </c>
      <c r="H64" s="2">
        <v>9.0</v>
      </c>
      <c r="I64" s="2">
        <v>88.7</v>
      </c>
      <c r="J64" s="2">
        <v>5.15</v>
      </c>
      <c r="K64" s="2">
        <v>0.0</v>
      </c>
      <c r="L64" s="2">
        <v>3.3</v>
      </c>
      <c r="M64" s="2">
        <v>572011.2</v>
      </c>
      <c r="N64" s="2">
        <v>101409.68</v>
      </c>
      <c r="O64" s="2">
        <f t="shared" si="1"/>
        <v>0</v>
      </c>
      <c r="P64" s="2">
        <f t="shared" si="2"/>
        <v>0</v>
      </c>
      <c r="Q64" s="2">
        <f t="shared" si="3"/>
        <v>1</v>
      </c>
      <c r="R64" s="2">
        <f t="shared" si="4"/>
        <v>0</v>
      </c>
      <c r="S64" s="2">
        <f t="shared" si="5"/>
        <v>1</v>
      </c>
      <c r="T64" s="2">
        <f t="shared" si="6"/>
        <v>0</v>
      </c>
      <c r="U64" s="2">
        <f t="shared" si="7"/>
        <v>593364.9068</v>
      </c>
      <c r="V64" s="2">
        <f t="shared" si="8"/>
        <v>-21353.70675</v>
      </c>
    </row>
    <row r="65" ht="15.75" customHeight="1">
      <c r="A65" s="2" t="s">
        <v>37</v>
      </c>
      <c r="B65" s="3">
        <v>45748.0</v>
      </c>
      <c r="C65" s="2" t="s">
        <v>24</v>
      </c>
      <c r="D65" s="2" t="s">
        <v>18</v>
      </c>
      <c r="E65" s="2">
        <v>74954.47</v>
      </c>
      <c r="F65" s="2">
        <v>6620.0</v>
      </c>
      <c r="G65" s="2">
        <v>0.054</v>
      </c>
      <c r="H65" s="2">
        <v>17.0</v>
      </c>
      <c r="I65" s="2">
        <v>91.1</v>
      </c>
      <c r="J65" s="2">
        <v>1.11</v>
      </c>
      <c r="K65" s="2">
        <v>0.0</v>
      </c>
      <c r="L65" s="2">
        <v>3.5</v>
      </c>
      <c r="M65" s="2">
        <v>761860.19</v>
      </c>
      <c r="N65" s="2">
        <v>133279.38</v>
      </c>
      <c r="O65" s="2">
        <f t="shared" si="1"/>
        <v>0</v>
      </c>
      <c r="P65" s="2">
        <f t="shared" si="2"/>
        <v>0</v>
      </c>
      <c r="Q65" s="2">
        <f t="shared" si="3"/>
        <v>1</v>
      </c>
      <c r="R65" s="2">
        <f t="shared" si="4"/>
        <v>0</v>
      </c>
      <c r="S65" s="2">
        <f t="shared" si="5"/>
        <v>1</v>
      </c>
      <c r="T65" s="2">
        <f t="shared" si="6"/>
        <v>0</v>
      </c>
      <c r="U65" s="2">
        <f t="shared" si="7"/>
        <v>723300.7521</v>
      </c>
      <c r="V65" s="2">
        <f t="shared" si="8"/>
        <v>38559.43786</v>
      </c>
    </row>
    <row r="66" ht="15.75" customHeight="1">
      <c r="A66" s="2" t="s">
        <v>38</v>
      </c>
      <c r="B66" s="3">
        <v>45658.0</v>
      </c>
      <c r="C66" s="2" t="s">
        <v>27</v>
      </c>
      <c r="D66" s="2" t="s">
        <v>18</v>
      </c>
      <c r="E66" s="2">
        <v>70040.31</v>
      </c>
      <c r="F66" s="2">
        <v>9175.0</v>
      </c>
      <c r="G66" s="2">
        <v>0.107</v>
      </c>
      <c r="H66" s="2">
        <v>23.0</v>
      </c>
      <c r="I66" s="2">
        <v>95.1</v>
      </c>
      <c r="J66" s="2">
        <v>6.08</v>
      </c>
      <c r="K66" s="2">
        <v>1.0</v>
      </c>
      <c r="L66" s="2">
        <v>3.4</v>
      </c>
      <c r="M66" s="2">
        <v>784502.68</v>
      </c>
      <c r="N66" s="2">
        <v>129519.72</v>
      </c>
      <c r="O66" s="2">
        <f t="shared" si="1"/>
        <v>0</v>
      </c>
      <c r="P66" s="2">
        <f t="shared" si="2"/>
        <v>0</v>
      </c>
      <c r="Q66" s="2">
        <f t="shared" si="3"/>
        <v>0</v>
      </c>
      <c r="R66" s="2">
        <f t="shared" si="4"/>
        <v>0</v>
      </c>
      <c r="S66" s="2">
        <f t="shared" si="5"/>
        <v>1</v>
      </c>
      <c r="T66" s="2">
        <f t="shared" si="6"/>
        <v>0</v>
      </c>
      <c r="U66" s="2">
        <f t="shared" si="7"/>
        <v>810823.5996</v>
      </c>
      <c r="V66" s="2">
        <f t="shared" si="8"/>
        <v>-26320.91961</v>
      </c>
    </row>
    <row r="67" ht="15.75" customHeight="1">
      <c r="A67" s="2" t="s">
        <v>38</v>
      </c>
      <c r="B67" s="3">
        <v>45689.0</v>
      </c>
      <c r="C67" s="2" t="s">
        <v>27</v>
      </c>
      <c r="D67" s="2" t="s">
        <v>18</v>
      </c>
      <c r="E67" s="2">
        <v>51148.69</v>
      </c>
      <c r="F67" s="2">
        <v>7940.0</v>
      </c>
      <c r="G67" s="2">
        <v>0.156</v>
      </c>
      <c r="H67" s="2">
        <v>18.0</v>
      </c>
      <c r="I67" s="2">
        <v>93.3</v>
      </c>
      <c r="J67" s="2">
        <v>10.91</v>
      </c>
      <c r="K67" s="2">
        <v>0.0</v>
      </c>
      <c r="L67" s="2">
        <v>3.6</v>
      </c>
      <c r="M67" s="2">
        <v>717141.55</v>
      </c>
      <c r="N67" s="2">
        <v>134013.61</v>
      </c>
      <c r="O67" s="2">
        <f t="shared" si="1"/>
        <v>0</v>
      </c>
      <c r="P67" s="2">
        <f t="shared" si="2"/>
        <v>0</v>
      </c>
      <c r="Q67" s="2">
        <f t="shared" si="3"/>
        <v>0</v>
      </c>
      <c r="R67" s="2">
        <f t="shared" si="4"/>
        <v>0</v>
      </c>
      <c r="S67" s="2">
        <f t="shared" si="5"/>
        <v>1</v>
      </c>
      <c r="T67" s="2">
        <f t="shared" si="6"/>
        <v>0</v>
      </c>
      <c r="U67" s="2">
        <f t="shared" si="7"/>
        <v>741517.4441</v>
      </c>
      <c r="V67" s="2">
        <f t="shared" si="8"/>
        <v>-24375.89413</v>
      </c>
    </row>
    <row r="68" ht="15.75" customHeight="1">
      <c r="A68" s="2" t="s">
        <v>38</v>
      </c>
      <c r="B68" s="3">
        <v>45717.0</v>
      </c>
      <c r="C68" s="2" t="s">
        <v>27</v>
      </c>
      <c r="D68" s="2" t="s">
        <v>18</v>
      </c>
      <c r="E68" s="2">
        <v>79346.1</v>
      </c>
      <c r="F68" s="2">
        <v>9628.0</v>
      </c>
      <c r="G68" s="2">
        <v>0.102</v>
      </c>
      <c r="H68" s="2">
        <v>20.0</v>
      </c>
      <c r="I68" s="2">
        <v>99.0</v>
      </c>
      <c r="J68" s="2">
        <v>19.01</v>
      </c>
      <c r="K68" s="2">
        <v>1.0</v>
      </c>
      <c r="L68" s="2">
        <v>3.2</v>
      </c>
      <c r="M68" s="2">
        <v>685379.08</v>
      </c>
      <c r="N68" s="2">
        <v>106898.82</v>
      </c>
      <c r="O68" s="2">
        <f t="shared" si="1"/>
        <v>0</v>
      </c>
      <c r="P68" s="2">
        <f t="shared" si="2"/>
        <v>0</v>
      </c>
      <c r="Q68" s="2">
        <f t="shared" si="3"/>
        <v>0</v>
      </c>
      <c r="R68" s="2">
        <f t="shared" si="4"/>
        <v>0</v>
      </c>
      <c r="S68" s="2">
        <f t="shared" si="5"/>
        <v>1</v>
      </c>
      <c r="T68" s="2">
        <f t="shared" si="6"/>
        <v>0</v>
      </c>
      <c r="U68" s="2">
        <f t="shared" si="7"/>
        <v>848193.792</v>
      </c>
      <c r="V68" s="2">
        <f t="shared" si="8"/>
        <v>-162814.712</v>
      </c>
    </row>
    <row r="69" ht="15.75" customHeight="1">
      <c r="A69" s="2" t="s">
        <v>38</v>
      </c>
      <c r="B69" s="3">
        <v>45748.0</v>
      </c>
      <c r="C69" s="2" t="s">
        <v>27</v>
      </c>
      <c r="D69" s="2" t="s">
        <v>18</v>
      </c>
      <c r="E69" s="2">
        <v>42018.4</v>
      </c>
      <c r="F69" s="2">
        <v>8296.0</v>
      </c>
      <c r="G69" s="2">
        <v>0.115</v>
      </c>
      <c r="H69" s="2">
        <v>17.0</v>
      </c>
      <c r="I69" s="2">
        <v>91.8</v>
      </c>
      <c r="J69" s="2">
        <v>0.77</v>
      </c>
      <c r="K69" s="2">
        <v>0.0</v>
      </c>
      <c r="L69" s="2">
        <v>3.4</v>
      </c>
      <c r="M69" s="2">
        <v>740496.65</v>
      </c>
      <c r="N69" s="2">
        <v>128020.9</v>
      </c>
      <c r="O69" s="2">
        <f t="shared" si="1"/>
        <v>0</v>
      </c>
      <c r="P69" s="2">
        <f t="shared" si="2"/>
        <v>0</v>
      </c>
      <c r="Q69" s="2">
        <f t="shared" si="3"/>
        <v>0</v>
      </c>
      <c r="R69" s="2">
        <f t="shared" si="4"/>
        <v>0</v>
      </c>
      <c r="S69" s="2">
        <f t="shared" si="5"/>
        <v>1</v>
      </c>
      <c r="T69" s="2">
        <f t="shared" si="6"/>
        <v>0</v>
      </c>
      <c r="U69" s="2">
        <f t="shared" si="7"/>
        <v>738516.8133</v>
      </c>
      <c r="V69" s="2">
        <f t="shared" si="8"/>
        <v>1979.836656</v>
      </c>
    </row>
    <row r="70" ht="15.75" customHeight="1">
      <c r="A70" s="2" t="s">
        <v>39</v>
      </c>
      <c r="B70" s="3">
        <v>45658.0</v>
      </c>
      <c r="C70" s="2" t="s">
        <v>15</v>
      </c>
      <c r="D70" s="2" t="s">
        <v>18</v>
      </c>
      <c r="E70" s="2">
        <v>70937.24</v>
      </c>
      <c r="F70" s="2">
        <v>3595.0</v>
      </c>
      <c r="G70" s="2">
        <v>0.141</v>
      </c>
      <c r="H70" s="2">
        <v>11.0</v>
      </c>
      <c r="I70" s="2">
        <v>88.9</v>
      </c>
      <c r="J70" s="2">
        <v>2.83</v>
      </c>
      <c r="K70" s="2">
        <v>1.0</v>
      </c>
      <c r="L70" s="2">
        <v>3.3</v>
      </c>
      <c r="M70" s="2">
        <v>661927.14</v>
      </c>
      <c r="N70" s="2">
        <v>79218.57</v>
      </c>
      <c r="O70" s="2">
        <f t="shared" si="1"/>
        <v>1</v>
      </c>
      <c r="P70" s="2">
        <f t="shared" si="2"/>
        <v>0</v>
      </c>
      <c r="Q70" s="2">
        <f t="shared" si="3"/>
        <v>0</v>
      </c>
      <c r="R70" s="2">
        <f t="shared" si="4"/>
        <v>0</v>
      </c>
      <c r="S70" s="2">
        <f t="shared" si="5"/>
        <v>1</v>
      </c>
      <c r="T70" s="2">
        <f t="shared" si="6"/>
        <v>0</v>
      </c>
      <c r="U70" s="2">
        <f t="shared" si="7"/>
        <v>587950.4461</v>
      </c>
      <c r="V70" s="2">
        <f t="shared" si="8"/>
        <v>73976.6939</v>
      </c>
    </row>
    <row r="71" ht="15.75" customHeight="1">
      <c r="A71" s="2" t="s">
        <v>39</v>
      </c>
      <c r="B71" s="3">
        <v>45689.0</v>
      </c>
      <c r="C71" s="2" t="s">
        <v>15</v>
      </c>
      <c r="D71" s="2" t="s">
        <v>18</v>
      </c>
      <c r="E71" s="2">
        <v>36813.45</v>
      </c>
      <c r="F71" s="2">
        <v>2834.0</v>
      </c>
      <c r="G71" s="2">
        <v>0.191</v>
      </c>
      <c r="H71" s="2">
        <v>11.0</v>
      </c>
      <c r="I71" s="2">
        <v>81.8</v>
      </c>
      <c r="J71" s="2">
        <v>2.33</v>
      </c>
      <c r="K71" s="2">
        <v>0.0</v>
      </c>
      <c r="L71" s="2">
        <v>3.3</v>
      </c>
      <c r="M71" s="2">
        <v>479050.5</v>
      </c>
      <c r="N71" s="2">
        <v>53651.11</v>
      </c>
      <c r="O71" s="2">
        <f t="shared" si="1"/>
        <v>1</v>
      </c>
      <c r="P71" s="2">
        <f t="shared" si="2"/>
        <v>0</v>
      </c>
      <c r="Q71" s="2">
        <f t="shared" si="3"/>
        <v>0</v>
      </c>
      <c r="R71" s="2">
        <f t="shared" si="4"/>
        <v>0</v>
      </c>
      <c r="S71" s="2">
        <f t="shared" si="5"/>
        <v>1</v>
      </c>
      <c r="T71" s="2">
        <f t="shared" si="6"/>
        <v>0</v>
      </c>
      <c r="U71" s="2">
        <f t="shared" si="7"/>
        <v>501693.3969</v>
      </c>
      <c r="V71" s="2">
        <f t="shared" si="8"/>
        <v>-22642.89685</v>
      </c>
    </row>
    <row r="72" ht="15.75" customHeight="1">
      <c r="A72" s="2" t="s">
        <v>39</v>
      </c>
      <c r="B72" s="3">
        <v>45717.0</v>
      </c>
      <c r="C72" s="2" t="s">
        <v>15</v>
      </c>
      <c r="D72" s="2" t="s">
        <v>18</v>
      </c>
      <c r="E72" s="2">
        <v>60571.82</v>
      </c>
      <c r="F72" s="2">
        <v>3193.0</v>
      </c>
      <c r="G72" s="2">
        <v>0.197</v>
      </c>
      <c r="H72" s="2">
        <v>7.0</v>
      </c>
      <c r="I72" s="2">
        <v>99.0</v>
      </c>
      <c r="J72" s="2">
        <v>1.43</v>
      </c>
      <c r="K72" s="2">
        <v>0.0</v>
      </c>
      <c r="L72" s="2">
        <v>3.2</v>
      </c>
      <c r="M72" s="2">
        <v>605023.87</v>
      </c>
      <c r="N72" s="2">
        <v>98545.81</v>
      </c>
      <c r="O72" s="2">
        <f t="shared" si="1"/>
        <v>1</v>
      </c>
      <c r="P72" s="2">
        <f t="shared" si="2"/>
        <v>0</v>
      </c>
      <c r="Q72" s="2">
        <f t="shared" si="3"/>
        <v>0</v>
      </c>
      <c r="R72" s="2">
        <f t="shared" si="4"/>
        <v>0</v>
      </c>
      <c r="S72" s="2">
        <f t="shared" si="5"/>
        <v>1</v>
      </c>
      <c r="T72" s="2">
        <f t="shared" si="6"/>
        <v>0</v>
      </c>
      <c r="U72" s="2">
        <f t="shared" si="7"/>
        <v>590503.6745</v>
      </c>
      <c r="V72" s="2">
        <f t="shared" si="8"/>
        <v>14520.19549</v>
      </c>
    </row>
    <row r="73" ht="15.75" customHeight="1">
      <c r="A73" s="2" t="s">
        <v>39</v>
      </c>
      <c r="B73" s="3">
        <v>45748.0</v>
      </c>
      <c r="C73" s="2" t="s">
        <v>15</v>
      </c>
      <c r="D73" s="2" t="s">
        <v>18</v>
      </c>
      <c r="E73" s="2">
        <v>55081.16</v>
      </c>
      <c r="F73" s="2">
        <v>5485.0</v>
      </c>
      <c r="G73" s="2">
        <v>0.036</v>
      </c>
      <c r="H73" s="2">
        <v>12.0</v>
      </c>
      <c r="I73" s="2">
        <v>88.0</v>
      </c>
      <c r="J73" s="2"/>
      <c r="K73" s="2">
        <v>0.0</v>
      </c>
      <c r="L73" s="2">
        <v>3.5</v>
      </c>
      <c r="M73" s="2">
        <v>674774.09</v>
      </c>
      <c r="N73" s="2">
        <v>141917.59</v>
      </c>
      <c r="O73" s="2">
        <f t="shared" si="1"/>
        <v>1</v>
      </c>
      <c r="P73" s="2">
        <f t="shared" si="2"/>
        <v>0</v>
      </c>
      <c r="Q73" s="2">
        <f t="shared" si="3"/>
        <v>0</v>
      </c>
      <c r="R73" s="2">
        <f t="shared" si="4"/>
        <v>0</v>
      </c>
      <c r="S73" s="2">
        <f t="shared" si="5"/>
        <v>1</v>
      </c>
      <c r="T73" s="2">
        <f t="shared" si="6"/>
        <v>0</v>
      </c>
      <c r="U73" s="2">
        <f t="shared" si="7"/>
        <v>630614.0112</v>
      </c>
      <c r="V73" s="2">
        <f t="shared" si="8"/>
        <v>44160.07875</v>
      </c>
    </row>
    <row r="74" ht="15.75" customHeight="1">
      <c r="A74" s="2" t="s">
        <v>40</v>
      </c>
      <c r="B74" s="3">
        <v>45658.0</v>
      </c>
      <c r="C74" s="2" t="s">
        <v>15</v>
      </c>
      <c r="D74" s="2" t="s">
        <v>16</v>
      </c>
      <c r="E74" s="2">
        <v>46201.46</v>
      </c>
      <c r="F74" s="2">
        <v>5918.0</v>
      </c>
      <c r="G74" s="2">
        <v>0.277</v>
      </c>
      <c r="H74" s="2">
        <v>13.0</v>
      </c>
      <c r="I74" s="2">
        <v>78.8</v>
      </c>
      <c r="J74" s="2">
        <v>4.91</v>
      </c>
      <c r="K74" s="2">
        <v>0.0</v>
      </c>
      <c r="L74" s="2">
        <v>4.5</v>
      </c>
      <c r="M74" s="2">
        <v>616069.41</v>
      </c>
      <c r="N74" s="2">
        <v>54453.99</v>
      </c>
      <c r="O74" s="2">
        <f t="shared" si="1"/>
        <v>1</v>
      </c>
      <c r="P74" s="2">
        <f t="shared" si="2"/>
        <v>0</v>
      </c>
      <c r="Q74" s="2">
        <f t="shared" si="3"/>
        <v>0</v>
      </c>
      <c r="R74" s="2">
        <f t="shared" si="4"/>
        <v>0</v>
      </c>
      <c r="S74" s="2">
        <f t="shared" si="5"/>
        <v>0</v>
      </c>
      <c r="T74" s="2">
        <f t="shared" si="6"/>
        <v>0</v>
      </c>
      <c r="U74" s="2">
        <f t="shared" si="7"/>
        <v>608819.1248</v>
      </c>
      <c r="V74" s="2">
        <f t="shared" si="8"/>
        <v>7250.285206</v>
      </c>
    </row>
    <row r="75" ht="15.75" customHeight="1">
      <c r="A75" s="2" t="s">
        <v>40</v>
      </c>
      <c r="B75" s="3">
        <v>45689.0</v>
      </c>
      <c r="C75" s="2" t="s">
        <v>15</v>
      </c>
      <c r="D75" s="2" t="s">
        <v>16</v>
      </c>
      <c r="E75" s="2">
        <v>53762.92</v>
      </c>
      <c r="F75" s="2">
        <v>6821.0</v>
      </c>
      <c r="G75" s="2">
        <v>0.066</v>
      </c>
      <c r="H75" s="2">
        <v>19.0</v>
      </c>
      <c r="I75" s="2">
        <v>94.6</v>
      </c>
      <c r="J75" s="2">
        <v>7.03</v>
      </c>
      <c r="K75" s="2">
        <v>0.0</v>
      </c>
      <c r="L75" s="2">
        <v>4.4</v>
      </c>
      <c r="M75" s="2">
        <v>630829.94</v>
      </c>
      <c r="N75" s="2">
        <v>117090.02</v>
      </c>
      <c r="O75" s="2">
        <f t="shared" si="1"/>
        <v>1</v>
      </c>
      <c r="P75" s="2">
        <f t="shared" si="2"/>
        <v>0</v>
      </c>
      <c r="Q75" s="2">
        <f t="shared" si="3"/>
        <v>0</v>
      </c>
      <c r="R75" s="2">
        <f t="shared" si="4"/>
        <v>0</v>
      </c>
      <c r="S75" s="2">
        <f t="shared" si="5"/>
        <v>0</v>
      </c>
      <c r="T75" s="2">
        <f t="shared" si="6"/>
        <v>0</v>
      </c>
      <c r="U75" s="2">
        <f t="shared" si="7"/>
        <v>692895.3397</v>
      </c>
      <c r="V75" s="2">
        <f t="shared" si="8"/>
        <v>-62065.39969</v>
      </c>
    </row>
    <row r="76" ht="15.75" customHeight="1">
      <c r="A76" s="2" t="s">
        <v>40</v>
      </c>
      <c r="B76" s="3">
        <v>45717.0</v>
      </c>
      <c r="C76" s="2" t="s">
        <v>15</v>
      </c>
      <c r="D76" s="2" t="s">
        <v>16</v>
      </c>
      <c r="E76" s="2">
        <v>70144.78</v>
      </c>
      <c r="F76" s="2">
        <v>6806.0</v>
      </c>
      <c r="G76" s="2">
        <v>0.178</v>
      </c>
      <c r="H76" s="2">
        <v>20.0</v>
      </c>
      <c r="I76" s="2">
        <v>93.1</v>
      </c>
      <c r="J76" s="2">
        <v>0.28</v>
      </c>
      <c r="K76" s="2">
        <v>1.0</v>
      </c>
      <c r="L76" s="2">
        <v>4.3</v>
      </c>
      <c r="M76" s="2">
        <v>788087.68</v>
      </c>
      <c r="N76" s="2">
        <v>116803.42</v>
      </c>
      <c r="O76" s="2">
        <f t="shared" si="1"/>
        <v>1</v>
      </c>
      <c r="P76" s="2">
        <f t="shared" si="2"/>
        <v>0</v>
      </c>
      <c r="Q76" s="2">
        <f t="shared" si="3"/>
        <v>0</v>
      </c>
      <c r="R76" s="2">
        <f t="shared" si="4"/>
        <v>0</v>
      </c>
      <c r="S76" s="2">
        <f t="shared" si="5"/>
        <v>0</v>
      </c>
      <c r="T76" s="2">
        <f t="shared" si="6"/>
        <v>0</v>
      </c>
      <c r="U76" s="2">
        <f t="shared" si="7"/>
        <v>707591.7292</v>
      </c>
      <c r="V76" s="2">
        <f t="shared" si="8"/>
        <v>80495.95076</v>
      </c>
    </row>
    <row r="77" ht="15.75" customHeight="1">
      <c r="A77" s="2" t="s">
        <v>40</v>
      </c>
      <c r="B77" s="3">
        <v>45748.0</v>
      </c>
      <c r="C77" s="2" t="s">
        <v>15</v>
      </c>
      <c r="D77" s="2" t="s">
        <v>16</v>
      </c>
      <c r="E77" s="2">
        <v>58749.63</v>
      </c>
      <c r="F77" s="2">
        <v>8252.0</v>
      </c>
      <c r="G77" s="2">
        <v>0.203</v>
      </c>
      <c r="H77" s="2">
        <v>20.0</v>
      </c>
      <c r="I77" s="2">
        <v>85.2</v>
      </c>
      <c r="J77" s="2">
        <v>3.61</v>
      </c>
      <c r="K77" s="2">
        <v>0.0</v>
      </c>
      <c r="L77" s="2">
        <v>4.5</v>
      </c>
      <c r="M77" s="2">
        <v>680840.36</v>
      </c>
      <c r="N77" s="2">
        <v>68007.68</v>
      </c>
      <c r="O77" s="2">
        <f t="shared" si="1"/>
        <v>1</v>
      </c>
      <c r="P77" s="2">
        <f t="shared" si="2"/>
        <v>0</v>
      </c>
      <c r="Q77" s="2">
        <f t="shared" si="3"/>
        <v>0</v>
      </c>
      <c r="R77" s="2">
        <f t="shared" si="4"/>
        <v>0</v>
      </c>
      <c r="S77" s="2">
        <f t="shared" si="5"/>
        <v>0</v>
      </c>
      <c r="T77" s="2">
        <f t="shared" si="6"/>
        <v>0</v>
      </c>
      <c r="U77" s="2">
        <f t="shared" si="7"/>
        <v>720783.3851</v>
      </c>
      <c r="V77" s="2">
        <f t="shared" si="8"/>
        <v>-39943.02512</v>
      </c>
    </row>
    <row r="78" ht="15.75" customHeight="1">
      <c r="A78" s="2" t="s">
        <v>41</v>
      </c>
      <c r="B78" s="3">
        <v>45658.0</v>
      </c>
      <c r="C78" s="2" t="s">
        <v>24</v>
      </c>
      <c r="D78" s="2" t="s">
        <v>18</v>
      </c>
      <c r="E78" s="2">
        <v>56973.18</v>
      </c>
      <c r="F78" s="2">
        <v>6662.0</v>
      </c>
      <c r="G78" s="2">
        <v>0.1</v>
      </c>
      <c r="H78" s="2">
        <v>15.0</v>
      </c>
      <c r="I78" s="2">
        <v>77.7</v>
      </c>
      <c r="J78" s="2">
        <v>7.52</v>
      </c>
      <c r="K78" s="2">
        <v>1.0</v>
      </c>
      <c r="L78" s="2">
        <v>3.2</v>
      </c>
      <c r="M78" s="2">
        <v>643657.47</v>
      </c>
      <c r="N78" s="2">
        <v>87022.45</v>
      </c>
      <c r="O78" s="2">
        <f t="shared" si="1"/>
        <v>0</v>
      </c>
      <c r="P78" s="2">
        <f t="shared" si="2"/>
        <v>0</v>
      </c>
      <c r="Q78" s="2">
        <f t="shared" si="3"/>
        <v>1</v>
      </c>
      <c r="R78" s="2">
        <f t="shared" si="4"/>
        <v>0</v>
      </c>
      <c r="S78" s="2">
        <f t="shared" si="5"/>
        <v>1</v>
      </c>
      <c r="T78" s="2">
        <f t="shared" si="6"/>
        <v>0</v>
      </c>
      <c r="U78" s="2">
        <f t="shared" si="7"/>
        <v>665632.1862</v>
      </c>
      <c r="V78" s="2">
        <f t="shared" si="8"/>
        <v>-21974.71619</v>
      </c>
    </row>
    <row r="79" ht="15.75" customHeight="1">
      <c r="A79" s="2" t="s">
        <v>41</v>
      </c>
      <c r="B79" s="3">
        <v>45689.0</v>
      </c>
      <c r="C79" s="2" t="s">
        <v>24</v>
      </c>
      <c r="D79" s="2" t="s">
        <v>18</v>
      </c>
      <c r="E79" s="2">
        <v>54872.82</v>
      </c>
      <c r="F79" s="2">
        <v>5962.0</v>
      </c>
      <c r="G79" s="2">
        <v>0.064</v>
      </c>
      <c r="H79" s="2">
        <v>12.0</v>
      </c>
      <c r="I79" s="2">
        <v>85.4</v>
      </c>
      <c r="J79" s="2">
        <v>2.58</v>
      </c>
      <c r="K79" s="2">
        <v>0.0</v>
      </c>
      <c r="L79" s="2">
        <v>2.9</v>
      </c>
      <c r="M79" s="2">
        <v>691112.6</v>
      </c>
      <c r="N79" s="2">
        <v>109212.83</v>
      </c>
      <c r="O79" s="2">
        <f t="shared" si="1"/>
        <v>0</v>
      </c>
      <c r="P79" s="2">
        <f t="shared" si="2"/>
        <v>0</v>
      </c>
      <c r="Q79" s="2">
        <f t="shared" si="3"/>
        <v>1</v>
      </c>
      <c r="R79" s="2">
        <f t="shared" si="4"/>
        <v>0</v>
      </c>
      <c r="S79" s="2">
        <f t="shared" si="5"/>
        <v>1</v>
      </c>
      <c r="T79" s="2">
        <f t="shared" si="6"/>
        <v>0</v>
      </c>
      <c r="U79" s="2">
        <f t="shared" si="7"/>
        <v>661133.4892</v>
      </c>
      <c r="V79" s="2">
        <f t="shared" si="8"/>
        <v>29979.11083</v>
      </c>
    </row>
    <row r="80" ht="15.75" customHeight="1">
      <c r="A80" s="2" t="s">
        <v>41</v>
      </c>
      <c r="B80" s="3">
        <v>45717.0</v>
      </c>
      <c r="C80" s="2" t="s">
        <v>24</v>
      </c>
      <c r="D80" s="2" t="s">
        <v>18</v>
      </c>
      <c r="E80" s="2">
        <v>80562.81</v>
      </c>
      <c r="F80" s="2">
        <v>7470.0</v>
      </c>
      <c r="G80" s="2">
        <v>0.172</v>
      </c>
      <c r="H80" s="2">
        <v>16.0</v>
      </c>
      <c r="I80" s="2">
        <v>83.5</v>
      </c>
      <c r="J80" s="2">
        <v>2.29</v>
      </c>
      <c r="K80" s="2">
        <v>0.0</v>
      </c>
      <c r="L80" s="2">
        <v>3.3</v>
      </c>
      <c r="M80" s="2">
        <v>776922.17</v>
      </c>
      <c r="N80" s="2">
        <v>150701.93</v>
      </c>
      <c r="O80" s="2">
        <f t="shared" si="1"/>
        <v>0</v>
      </c>
      <c r="P80" s="2">
        <f t="shared" si="2"/>
        <v>0</v>
      </c>
      <c r="Q80" s="2">
        <f t="shared" si="3"/>
        <v>1</v>
      </c>
      <c r="R80" s="2">
        <f t="shared" si="4"/>
        <v>0</v>
      </c>
      <c r="S80" s="2">
        <f t="shared" si="5"/>
        <v>1</v>
      </c>
      <c r="T80" s="2">
        <f t="shared" si="6"/>
        <v>0</v>
      </c>
      <c r="U80" s="2">
        <f t="shared" si="7"/>
        <v>737322.2577</v>
      </c>
      <c r="V80" s="2">
        <f t="shared" si="8"/>
        <v>39599.91229</v>
      </c>
    </row>
    <row r="81" ht="15.75" customHeight="1">
      <c r="A81" s="2" t="s">
        <v>41</v>
      </c>
      <c r="B81" s="3">
        <v>45748.0</v>
      </c>
      <c r="C81" s="2" t="s">
        <v>24</v>
      </c>
      <c r="D81" s="2" t="s">
        <v>18</v>
      </c>
      <c r="E81" s="2">
        <v>77999.9</v>
      </c>
      <c r="F81" s="2">
        <v>5974.0</v>
      </c>
      <c r="G81" s="2">
        <v>0.252</v>
      </c>
      <c r="H81" s="2">
        <v>14.0</v>
      </c>
      <c r="I81" s="2">
        <v>81.3</v>
      </c>
      <c r="J81" s="2">
        <v>2.39</v>
      </c>
      <c r="K81" s="2">
        <v>0.0</v>
      </c>
      <c r="L81" s="2">
        <v>3.2</v>
      </c>
      <c r="M81" s="2">
        <v>636561.34</v>
      </c>
      <c r="N81" s="2">
        <v>93861.06</v>
      </c>
      <c r="O81" s="2">
        <f t="shared" si="1"/>
        <v>0</v>
      </c>
      <c r="P81" s="2">
        <f t="shared" si="2"/>
        <v>0</v>
      </c>
      <c r="Q81" s="2">
        <f t="shared" si="3"/>
        <v>1</v>
      </c>
      <c r="R81" s="2">
        <f t="shared" si="4"/>
        <v>0</v>
      </c>
      <c r="S81" s="2">
        <f t="shared" si="5"/>
        <v>1</v>
      </c>
      <c r="T81" s="2">
        <f t="shared" si="6"/>
        <v>0</v>
      </c>
      <c r="U81" s="2">
        <f t="shared" si="7"/>
        <v>677418.1764</v>
      </c>
      <c r="V81" s="2">
        <f t="shared" si="8"/>
        <v>-40856.83638</v>
      </c>
    </row>
    <row r="82" ht="15.75" customHeight="1">
      <c r="A82" s="2" t="s">
        <v>42</v>
      </c>
      <c r="B82" s="3">
        <v>45658.0</v>
      </c>
      <c r="C82" s="2" t="s">
        <v>27</v>
      </c>
      <c r="D82" s="2" t="s">
        <v>28</v>
      </c>
      <c r="E82" s="2">
        <v>60881.01</v>
      </c>
      <c r="F82" s="2">
        <v>5410.0</v>
      </c>
      <c r="G82" s="2">
        <v>0.179</v>
      </c>
      <c r="H82" s="2">
        <v>15.0</v>
      </c>
      <c r="I82" s="2">
        <v>83.9</v>
      </c>
      <c r="J82" s="2">
        <v>5.24</v>
      </c>
      <c r="K82" s="2">
        <v>0.0</v>
      </c>
      <c r="L82" s="2">
        <v>4.6</v>
      </c>
      <c r="M82" s="2">
        <v>621369.58</v>
      </c>
      <c r="N82" s="2">
        <v>85493.64</v>
      </c>
      <c r="O82" s="2">
        <f t="shared" si="1"/>
        <v>0</v>
      </c>
      <c r="P82" s="2">
        <f t="shared" si="2"/>
        <v>0</v>
      </c>
      <c r="Q82" s="2">
        <f t="shared" si="3"/>
        <v>0</v>
      </c>
      <c r="R82" s="2">
        <f t="shared" si="4"/>
        <v>0</v>
      </c>
      <c r="S82" s="2">
        <f t="shared" si="5"/>
        <v>0</v>
      </c>
      <c r="T82" s="2">
        <f t="shared" si="6"/>
        <v>1</v>
      </c>
      <c r="U82" s="2">
        <f t="shared" si="7"/>
        <v>640889.3358</v>
      </c>
      <c r="V82" s="2">
        <f t="shared" si="8"/>
        <v>-19519.75582</v>
      </c>
    </row>
    <row r="83" ht="15.75" customHeight="1">
      <c r="A83" s="2" t="s">
        <v>42</v>
      </c>
      <c r="B83" s="3">
        <v>45689.0</v>
      </c>
      <c r="C83" s="2" t="s">
        <v>27</v>
      </c>
      <c r="D83" s="2" t="s">
        <v>28</v>
      </c>
      <c r="E83" s="2">
        <v>60628.38</v>
      </c>
      <c r="F83" s="2">
        <v>4451.0</v>
      </c>
      <c r="G83" s="2">
        <v>0.095</v>
      </c>
      <c r="H83" s="2">
        <v>10.0</v>
      </c>
      <c r="I83" s="2">
        <v>89.6</v>
      </c>
      <c r="J83" s="2">
        <v>3.17</v>
      </c>
      <c r="K83" s="2">
        <v>0.0</v>
      </c>
      <c r="L83" s="2">
        <v>4.6</v>
      </c>
      <c r="M83" s="2">
        <v>682208.01</v>
      </c>
      <c r="N83" s="2">
        <v>110318.84</v>
      </c>
      <c r="O83" s="2">
        <f t="shared" si="1"/>
        <v>0</v>
      </c>
      <c r="P83" s="2">
        <f t="shared" si="2"/>
        <v>0</v>
      </c>
      <c r="Q83" s="2">
        <f t="shared" si="3"/>
        <v>0</v>
      </c>
      <c r="R83" s="2">
        <f t="shared" si="4"/>
        <v>0</v>
      </c>
      <c r="S83" s="2">
        <f t="shared" si="5"/>
        <v>0</v>
      </c>
      <c r="T83" s="2">
        <f t="shared" si="6"/>
        <v>1</v>
      </c>
      <c r="U83" s="2">
        <f t="shared" si="7"/>
        <v>624174.7587</v>
      </c>
      <c r="V83" s="2">
        <f t="shared" si="8"/>
        <v>58033.25128</v>
      </c>
    </row>
    <row r="84" ht="15.75" customHeight="1">
      <c r="A84" s="2" t="s">
        <v>42</v>
      </c>
      <c r="B84" s="3">
        <v>45717.0</v>
      </c>
      <c r="C84" s="2" t="s">
        <v>27</v>
      </c>
      <c r="D84" s="2" t="s">
        <v>28</v>
      </c>
      <c r="E84" s="2">
        <v>72731.14</v>
      </c>
      <c r="F84" s="2">
        <v>4644.0</v>
      </c>
      <c r="G84" s="2">
        <v>0.084</v>
      </c>
      <c r="H84" s="2">
        <v>15.0</v>
      </c>
      <c r="I84" s="2">
        <v>87.1</v>
      </c>
      <c r="J84" s="2">
        <v>2.66</v>
      </c>
      <c r="K84" s="2">
        <v>0.0</v>
      </c>
      <c r="L84" s="2">
        <v>4.6</v>
      </c>
      <c r="M84" s="2">
        <v>727241.86</v>
      </c>
      <c r="N84" s="2">
        <v>155810.3</v>
      </c>
      <c r="O84" s="2">
        <f t="shared" si="1"/>
        <v>0</v>
      </c>
      <c r="P84" s="2">
        <f t="shared" si="2"/>
        <v>0</v>
      </c>
      <c r="Q84" s="2">
        <f t="shared" si="3"/>
        <v>0</v>
      </c>
      <c r="R84" s="2">
        <f t="shared" si="4"/>
        <v>0</v>
      </c>
      <c r="S84" s="2">
        <f t="shared" si="5"/>
        <v>0</v>
      </c>
      <c r="T84" s="2">
        <f t="shared" si="6"/>
        <v>1</v>
      </c>
      <c r="U84" s="2">
        <f t="shared" si="7"/>
        <v>638021.603</v>
      </c>
      <c r="V84" s="2">
        <f t="shared" si="8"/>
        <v>89220.25698</v>
      </c>
    </row>
    <row r="85" ht="15.75" customHeight="1">
      <c r="A85" s="2" t="s">
        <v>42</v>
      </c>
      <c r="B85" s="3">
        <v>45748.0</v>
      </c>
      <c r="C85" s="2" t="s">
        <v>27</v>
      </c>
      <c r="D85" s="2" t="s">
        <v>28</v>
      </c>
      <c r="E85" s="2">
        <v>36475.71</v>
      </c>
      <c r="F85" s="2">
        <v>3559.0</v>
      </c>
      <c r="G85" s="2">
        <v>0.03</v>
      </c>
      <c r="H85" s="2">
        <v>8.0</v>
      </c>
      <c r="I85" s="2">
        <v>83.6</v>
      </c>
      <c r="J85" s="2">
        <v>1.41</v>
      </c>
      <c r="K85" s="2">
        <v>0.0</v>
      </c>
      <c r="L85" s="2">
        <v>4.2</v>
      </c>
      <c r="M85" s="2">
        <v>569100.78</v>
      </c>
      <c r="N85" s="2">
        <v>104808.78</v>
      </c>
      <c r="O85" s="2">
        <f t="shared" si="1"/>
        <v>0</v>
      </c>
      <c r="P85" s="2">
        <f t="shared" si="2"/>
        <v>0</v>
      </c>
      <c r="Q85" s="2">
        <f t="shared" si="3"/>
        <v>0</v>
      </c>
      <c r="R85" s="2">
        <f t="shared" si="4"/>
        <v>0</v>
      </c>
      <c r="S85" s="2">
        <f t="shared" si="5"/>
        <v>0</v>
      </c>
      <c r="T85" s="2">
        <f t="shared" si="6"/>
        <v>1</v>
      </c>
      <c r="U85" s="2">
        <f t="shared" si="7"/>
        <v>548408.4297</v>
      </c>
      <c r="V85" s="2">
        <f t="shared" si="8"/>
        <v>20692.35033</v>
      </c>
    </row>
    <row r="86" ht="15.75" customHeight="1">
      <c r="A86" s="2" t="s">
        <v>43</v>
      </c>
      <c r="B86" s="3">
        <v>45658.0</v>
      </c>
      <c r="C86" s="2" t="s">
        <v>27</v>
      </c>
      <c r="D86" s="2" t="s">
        <v>18</v>
      </c>
      <c r="E86" s="2">
        <v>55388.11</v>
      </c>
      <c r="F86" s="2">
        <v>3091.0</v>
      </c>
      <c r="G86" s="2">
        <v>0.108</v>
      </c>
      <c r="H86" s="2">
        <v>7.0</v>
      </c>
      <c r="I86" s="2">
        <v>85.4</v>
      </c>
      <c r="J86" s="2">
        <v>7.34</v>
      </c>
      <c r="K86" s="2">
        <v>0.0</v>
      </c>
      <c r="L86" s="2">
        <v>4.9</v>
      </c>
      <c r="M86" s="2">
        <v>574436.29</v>
      </c>
      <c r="N86" s="2">
        <v>80271.99</v>
      </c>
      <c r="O86" s="2">
        <f t="shared" si="1"/>
        <v>0</v>
      </c>
      <c r="P86" s="2">
        <f t="shared" si="2"/>
        <v>0</v>
      </c>
      <c r="Q86" s="2">
        <f t="shared" si="3"/>
        <v>0</v>
      </c>
      <c r="R86" s="2">
        <f t="shared" si="4"/>
        <v>0</v>
      </c>
      <c r="S86" s="2">
        <f t="shared" si="5"/>
        <v>1</v>
      </c>
      <c r="T86" s="2">
        <f t="shared" si="6"/>
        <v>0</v>
      </c>
      <c r="U86" s="2">
        <f t="shared" si="7"/>
        <v>560064.5841</v>
      </c>
      <c r="V86" s="2">
        <f t="shared" si="8"/>
        <v>14371.70594</v>
      </c>
    </row>
    <row r="87" ht="15.75" customHeight="1">
      <c r="A87" s="2" t="s">
        <v>43</v>
      </c>
      <c r="B87" s="3">
        <v>45689.0</v>
      </c>
      <c r="C87" s="2" t="s">
        <v>27</v>
      </c>
      <c r="D87" s="2" t="s">
        <v>18</v>
      </c>
      <c r="E87" s="2">
        <v>88443.77</v>
      </c>
      <c r="F87" s="2">
        <v>4004.0</v>
      </c>
      <c r="G87" s="2">
        <v>0.206</v>
      </c>
      <c r="H87" s="2">
        <v>11.0</v>
      </c>
      <c r="I87" s="2">
        <v>91.9</v>
      </c>
      <c r="J87" s="2">
        <v>5.95</v>
      </c>
      <c r="K87" s="2">
        <v>0.0</v>
      </c>
      <c r="L87" s="2"/>
      <c r="M87" s="2">
        <v>611766.72</v>
      </c>
      <c r="N87" s="2">
        <v>88275.61</v>
      </c>
      <c r="O87" s="2">
        <f t="shared" si="1"/>
        <v>0</v>
      </c>
      <c r="P87" s="2">
        <f t="shared" si="2"/>
        <v>0</v>
      </c>
      <c r="Q87" s="2">
        <f t="shared" si="3"/>
        <v>0</v>
      </c>
      <c r="R87" s="2">
        <f t="shared" si="4"/>
        <v>0</v>
      </c>
      <c r="S87" s="2">
        <f t="shared" si="5"/>
        <v>1</v>
      </c>
      <c r="T87" s="2">
        <f t="shared" si="6"/>
        <v>0</v>
      </c>
      <c r="U87" s="2">
        <f t="shared" si="7"/>
        <v>648511.5202</v>
      </c>
      <c r="V87" s="2">
        <f t="shared" si="8"/>
        <v>-36744.80022</v>
      </c>
    </row>
    <row r="88" ht="15.75" customHeight="1">
      <c r="A88" s="2" t="s">
        <v>43</v>
      </c>
      <c r="B88" s="3">
        <v>45717.0</v>
      </c>
      <c r="C88" s="2" t="s">
        <v>27</v>
      </c>
      <c r="D88" s="2" t="s">
        <v>18</v>
      </c>
      <c r="E88" s="2">
        <v>78231.91</v>
      </c>
      <c r="F88" s="2">
        <v>3788.0</v>
      </c>
      <c r="G88" s="2">
        <v>0.059</v>
      </c>
      <c r="H88" s="2">
        <v>11.0</v>
      </c>
      <c r="I88" s="2">
        <v>88.5</v>
      </c>
      <c r="J88" s="2">
        <v>15.51</v>
      </c>
      <c r="K88" s="2">
        <v>0.0</v>
      </c>
      <c r="L88" s="2">
        <v>4.3</v>
      </c>
      <c r="M88" s="2">
        <v>614596.32</v>
      </c>
      <c r="N88" s="2">
        <v>131199.41</v>
      </c>
      <c r="O88" s="2">
        <f t="shared" si="1"/>
        <v>0</v>
      </c>
      <c r="P88" s="2">
        <f t="shared" si="2"/>
        <v>0</v>
      </c>
      <c r="Q88" s="2">
        <f t="shared" si="3"/>
        <v>0</v>
      </c>
      <c r="R88" s="2">
        <f t="shared" si="4"/>
        <v>0</v>
      </c>
      <c r="S88" s="2">
        <f t="shared" si="5"/>
        <v>1</v>
      </c>
      <c r="T88" s="2">
        <f t="shared" si="6"/>
        <v>0</v>
      </c>
      <c r="U88" s="2">
        <f t="shared" si="7"/>
        <v>619501.9844</v>
      </c>
      <c r="V88" s="2">
        <f t="shared" si="8"/>
        <v>-4905.664366</v>
      </c>
    </row>
    <row r="89" ht="15.75" customHeight="1">
      <c r="A89" s="2" t="s">
        <v>43</v>
      </c>
      <c r="B89" s="3">
        <v>45748.0</v>
      </c>
      <c r="C89" s="2" t="s">
        <v>27</v>
      </c>
      <c r="D89" s="2" t="s">
        <v>18</v>
      </c>
      <c r="E89" s="2">
        <v>18996.32</v>
      </c>
      <c r="F89" s="2">
        <v>1260.0</v>
      </c>
      <c r="G89" s="2">
        <v>0.145</v>
      </c>
      <c r="H89" s="2">
        <v>9.0</v>
      </c>
      <c r="I89" s="2">
        <v>86.4</v>
      </c>
      <c r="J89" s="2">
        <v>4.31</v>
      </c>
      <c r="K89" s="2">
        <v>0.0</v>
      </c>
      <c r="L89" s="2">
        <v>4.6</v>
      </c>
      <c r="M89" s="2">
        <v>450711.92</v>
      </c>
      <c r="N89" s="2">
        <v>90043.76</v>
      </c>
      <c r="O89" s="2">
        <f t="shared" si="1"/>
        <v>0</v>
      </c>
      <c r="P89" s="2">
        <f t="shared" si="2"/>
        <v>0</v>
      </c>
      <c r="Q89" s="2">
        <f t="shared" si="3"/>
        <v>0</v>
      </c>
      <c r="R89" s="2">
        <f t="shared" si="4"/>
        <v>0</v>
      </c>
      <c r="S89" s="2">
        <f t="shared" si="5"/>
        <v>1</v>
      </c>
      <c r="T89" s="2">
        <f t="shared" si="6"/>
        <v>0</v>
      </c>
      <c r="U89" s="2">
        <f t="shared" si="7"/>
        <v>457706.6169</v>
      </c>
      <c r="V89" s="2">
        <f t="shared" si="8"/>
        <v>-6994.696931</v>
      </c>
    </row>
    <row r="90" ht="15.75" customHeight="1">
      <c r="A90" s="2" t="s">
        <v>44</v>
      </c>
      <c r="B90" s="3">
        <v>45658.0</v>
      </c>
      <c r="C90" s="2" t="s">
        <v>24</v>
      </c>
      <c r="D90" s="2" t="s">
        <v>28</v>
      </c>
      <c r="E90" s="2">
        <v>50517.94</v>
      </c>
      <c r="F90" s="2">
        <v>7024.0</v>
      </c>
      <c r="G90" s="2">
        <v>0.029</v>
      </c>
      <c r="H90" s="2">
        <v>18.0</v>
      </c>
      <c r="I90" s="2">
        <v>79.2</v>
      </c>
      <c r="J90" s="2">
        <v>6.61</v>
      </c>
      <c r="K90" s="2">
        <v>1.0</v>
      </c>
      <c r="L90" s="2">
        <v>4.1</v>
      </c>
      <c r="M90" s="2">
        <v>711213.46</v>
      </c>
      <c r="N90" s="2">
        <v>105863.26</v>
      </c>
      <c r="O90" s="2">
        <f t="shared" si="1"/>
        <v>0</v>
      </c>
      <c r="P90" s="2">
        <f t="shared" si="2"/>
        <v>0</v>
      </c>
      <c r="Q90" s="2">
        <f t="shared" si="3"/>
        <v>1</v>
      </c>
      <c r="R90" s="2">
        <f t="shared" si="4"/>
        <v>0</v>
      </c>
      <c r="S90" s="2">
        <f t="shared" si="5"/>
        <v>0</v>
      </c>
      <c r="T90" s="2">
        <f t="shared" si="6"/>
        <v>1</v>
      </c>
      <c r="U90" s="2">
        <f t="shared" si="7"/>
        <v>674462.0317</v>
      </c>
      <c r="V90" s="2">
        <f t="shared" si="8"/>
        <v>36751.42829</v>
      </c>
    </row>
    <row r="91" ht="15.75" customHeight="1">
      <c r="A91" s="2" t="s">
        <v>44</v>
      </c>
      <c r="B91" s="3">
        <v>45689.0</v>
      </c>
      <c r="C91" s="2" t="s">
        <v>24</v>
      </c>
      <c r="D91" s="2" t="s">
        <v>28</v>
      </c>
      <c r="E91" s="2">
        <v>141540.29</v>
      </c>
      <c r="F91" s="2">
        <v>5400.0</v>
      </c>
      <c r="G91" s="2">
        <v>0.013</v>
      </c>
      <c r="H91" s="2">
        <v>12.0</v>
      </c>
      <c r="I91" s="2">
        <v>87.0</v>
      </c>
      <c r="J91" s="2">
        <v>4.26</v>
      </c>
      <c r="K91" s="2">
        <v>0.0</v>
      </c>
      <c r="L91" s="2">
        <v>4.5</v>
      </c>
      <c r="M91" s="2">
        <v>627171.9</v>
      </c>
      <c r="N91" s="2">
        <v>105772.75</v>
      </c>
      <c r="O91" s="2">
        <f t="shared" si="1"/>
        <v>0</v>
      </c>
      <c r="P91" s="2">
        <f t="shared" si="2"/>
        <v>0</v>
      </c>
      <c r="Q91" s="2">
        <f t="shared" si="3"/>
        <v>1</v>
      </c>
      <c r="R91" s="2">
        <f t="shared" si="4"/>
        <v>0</v>
      </c>
      <c r="S91" s="2">
        <f t="shared" si="5"/>
        <v>0</v>
      </c>
      <c r="T91" s="2">
        <f t="shared" si="6"/>
        <v>1</v>
      </c>
      <c r="U91" s="2">
        <f t="shared" si="7"/>
        <v>749410.9304</v>
      </c>
      <c r="V91" s="2">
        <f t="shared" si="8"/>
        <v>-122239.0304</v>
      </c>
    </row>
    <row r="92" ht="15.75" customHeight="1">
      <c r="A92" s="2" t="s">
        <v>44</v>
      </c>
      <c r="B92" s="3">
        <v>45717.0</v>
      </c>
      <c r="C92" s="2" t="s">
        <v>24</v>
      </c>
      <c r="D92" s="2" t="s">
        <v>28</v>
      </c>
      <c r="E92" s="2">
        <v>82116.19</v>
      </c>
      <c r="F92" s="2">
        <v>5988.0</v>
      </c>
      <c r="G92" s="2">
        <v>0.04</v>
      </c>
      <c r="H92" s="2">
        <v>17.0</v>
      </c>
      <c r="I92" s="2">
        <v>91.8</v>
      </c>
      <c r="J92" s="2">
        <v>5.75</v>
      </c>
      <c r="K92" s="2">
        <v>0.0</v>
      </c>
      <c r="L92" s="2">
        <v>4.7</v>
      </c>
      <c r="M92" s="2">
        <v>739852.58</v>
      </c>
      <c r="N92" s="2">
        <v>129386.43</v>
      </c>
      <c r="O92" s="2">
        <f t="shared" si="1"/>
        <v>0</v>
      </c>
      <c r="P92" s="2">
        <f t="shared" si="2"/>
        <v>0</v>
      </c>
      <c r="Q92" s="2">
        <f t="shared" si="3"/>
        <v>1</v>
      </c>
      <c r="R92" s="2">
        <f t="shared" si="4"/>
        <v>0</v>
      </c>
      <c r="S92" s="2">
        <f t="shared" si="5"/>
        <v>0</v>
      </c>
      <c r="T92" s="2">
        <f t="shared" si="6"/>
        <v>1</v>
      </c>
      <c r="U92" s="2">
        <f t="shared" si="7"/>
        <v>712364.7259</v>
      </c>
      <c r="V92" s="2">
        <f t="shared" si="8"/>
        <v>27487.85407</v>
      </c>
    </row>
    <row r="93" ht="15.75" customHeight="1">
      <c r="A93" s="2" t="s">
        <v>44</v>
      </c>
      <c r="B93" s="3">
        <v>45748.0</v>
      </c>
      <c r="C93" s="2" t="s">
        <v>24</v>
      </c>
      <c r="D93" s="2" t="s">
        <v>28</v>
      </c>
      <c r="E93" s="2">
        <v>31207.51</v>
      </c>
      <c r="F93" s="2">
        <v>3701.0</v>
      </c>
      <c r="G93" s="2">
        <v>0.043</v>
      </c>
      <c r="H93" s="2">
        <v>11.0</v>
      </c>
      <c r="I93" s="2">
        <v>84.7</v>
      </c>
      <c r="J93" s="2">
        <v>0.33</v>
      </c>
      <c r="K93" s="2">
        <v>0.0</v>
      </c>
      <c r="L93" s="2">
        <v>4.3</v>
      </c>
      <c r="M93" s="2">
        <v>586307.22</v>
      </c>
      <c r="N93" s="2">
        <v>73927.85</v>
      </c>
      <c r="O93" s="2">
        <f t="shared" si="1"/>
        <v>0</v>
      </c>
      <c r="P93" s="2">
        <f t="shared" si="2"/>
        <v>0</v>
      </c>
      <c r="Q93" s="2">
        <f t="shared" si="3"/>
        <v>1</v>
      </c>
      <c r="R93" s="2">
        <f t="shared" si="4"/>
        <v>0</v>
      </c>
      <c r="S93" s="2">
        <f t="shared" si="5"/>
        <v>0</v>
      </c>
      <c r="T93" s="2">
        <f t="shared" si="6"/>
        <v>1</v>
      </c>
      <c r="U93" s="2">
        <f t="shared" si="7"/>
        <v>554517.8326</v>
      </c>
      <c r="V93" s="2">
        <f t="shared" si="8"/>
        <v>31789.38744</v>
      </c>
    </row>
    <row r="94" ht="15.75" customHeight="1">
      <c r="A94" s="2" t="s">
        <v>45</v>
      </c>
      <c r="B94" s="3">
        <v>45658.0</v>
      </c>
      <c r="C94" s="2" t="s">
        <v>27</v>
      </c>
      <c r="D94" s="2" t="s">
        <v>16</v>
      </c>
      <c r="E94" s="2">
        <v>38966.59</v>
      </c>
      <c r="F94" s="2">
        <v>4509.0</v>
      </c>
      <c r="G94" s="2">
        <v>0.194</v>
      </c>
      <c r="H94" s="2">
        <v>14.0</v>
      </c>
      <c r="I94" s="2">
        <v>91.1</v>
      </c>
      <c r="J94" s="2">
        <v>2.92</v>
      </c>
      <c r="K94" s="2">
        <v>0.0</v>
      </c>
      <c r="L94" s="2">
        <v>4.6</v>
      </c>
      <c r="M94" s="2">
        <v>585937.48</v>
      </c>
      <c r="N94" s="2">
        <v>82624.2</v>
      </c>
      <c r="O94" s="2">
        <f t="shared" si="1"/>
        <v>0</v>
      </c>
      <c r="P94" s="2">
        <f t="shared" si="2"/>
        <v>0</v>
      </c>
      <c r="Q94" s="2">
        <f t="shared" si="3"/>
        <v>0</v>
      </c>
      <c r="R94" s="2">
        <f t="shared" si="4"/>
        <v>0</v>
      </c>
      <c r="S94" s="2">
        <f t="shared" si="5"/>
        <v>0</v>
      </c>
      <c r="T94" s="2">
        <f t="shared" si="6"/>
        <v>0</v>
      </c>
      <c r="U94" s="2">
        <f t="shared" si="7"/>
        <v>604671.7869</v>
      </c>
      <c r="V94" s="2">
        <f t="shared" si="8"/>
        <v>-18734.30689</v>
      </c>
    </row>
    <row r="95" ht="15.75" customHeight="1">
      <c r="A95" s="2" t="s">
        <v>45</v>
      </c>
      <c r="B95" s="3">
        <v>45689.0</v>
      </c>
      <c r="C95" s="2" t="s">
        <v>27</v>
      </c>
      <c r="D95" s="2" t="s">
        <v>16</v>
      </c>
      <c r="E95" s="2">
        <v>67439.3</v>
      </c>
      <c r="F95" s="2">
        <v>6477.0</v>
      </c>
      <c r="G95" s="2">
        <v>0.0</v>
      </c>
      <c r="H95" s="2">
        <v>16.0</v>
      </c>
      <c r="I95" s="2">
        <v>90.9</v>
      </c>
      <c r="J95" s="2">
        <v>1.64</v>
      </c>
      <c r="K95" s="2">
        <v>0.0</v>
      </c>
      <c r="L95" s="2">
        <v>4.5</v>
      </c>
      <c r="M95" s="2">
        <v>753473.55</v>
      </c>
      <c r="N95" s="2">
        <v>151527.22</v>
      </c>
      <c r="O95" s="2">
        <f t="shared" si="1"/>
        <v>0</v>
      </c>
      <c r="P95" s="2">
        <f t="shared" si="2"/>
        <v>0</v>
      </c>
      <c r="Q95" s="2">
        <f t="shared" si="3"/>
        <v>0</v>
      </c>
      <c r="R95" s="2">
        <f t="shared" si="4"/>
        <v>0</v>
      </c>
      <c r="S95" s="2">
        <f t="shared" si="5"/>
        <v>0</v>
      </c>
      <c r="T95" s="2">
        <f t="shared" si="6"/>
        <v>0</v>
      </c>
      <c r="U95" s="2">
        <f t="shared" si="7"/>
        <v>704530.6326</v>
      </c>
      <c r="V95" s="2">
        <f t="shared" si="8"/>
        <v>48942.91741</v>
      </c>
    </row>
    <row r="96" ht="15.75" customHeight="1">
      <c r="A96" s="2" t="s">
        <v>45</v>
      </c>
      <c r="B96" s="3">
        <v>45717.0</v>
      </c>
      <c r="C96" s="2" t="s">
        <v>27</v>
      </c>
      <c r="D96" s="2" t="s">
        <v>16</v>
      </c>
      <c r="E96" s="2">
        <v>86421.88</v>
      </c>
      <c r="F96" s="2">
        <v>7970.0</v>
      </c>
      <c r="G96" s="2">
        <v>0.073</v>
      </c>
      <c r="H96" s="2">
        <v>17.0</v>
      </c>
      <c r="I96" s="2">
        <v>91.3</v>
      </c>
      <c r="J96" s="2">
        <v>0.8</v>
      </c>
      <c r="K96" s="2">
        <v>0.0</v>
      </c>
      <c r="L96" s="2">
        <v>5.0</v>
      </c>
      <c r="M96" s="2">
        <v>838250.32</v>
      </c>
      <c r="N96" s="2">
        <v>122939.34</v>
      </c>
      <c r="O96" s="2">
        <f t="shared" si="1"/>
        <v>0</v>
      </c>
      <c r="P96" s="2">
        <f t="shared" si="2"/>
        <v>0</v>
      </c>
      <c r="Q96" s="2">
        <f t="shared" si="3"/>
        <v>0</v>
      </c>
      <c r="R96" s="2">
        <f t="shared" si="4"/>
        <v>0</v>
      </c>
      <c r="S96" s="2">
        <f t="shared" si="5"/>
        <v>0</v>
      </c>
      <c r="T96" s="2">
        <f t="shared" si="6"/>
        <v>0</v>
      </c>
      <c r="U96" s="2">
        <f t="shared" si="7"/>
        <v>778736.9262</v>
      </c>
      <c r="V96" s="2">
        <f t="shared" si="8"/>
        <v>59513.39382</v>
      </c>
    </row>
    <row r="97" ht="15.75" customHeight="1">
      <c r="A97" s="2" t="s">
        <v>45</v>
      </c>
      <c r="B97" s="3">
        <v>45748.0</v>
      </c>
      <c r="C97" s="2" t="s">
        <v>27</v>
      </c>
      <c r="D97" s="2" t="s">
        <v>16</v>
      </c>
      <c r="E97" s="2">
        <v>9534.65</v>
      </c>
      <c r="F97" s="2">
        <v>6057.0</v>
      </c>
      <c r="G97" s="2">
        <v>0.074</v>
      </c>
      <c r="H97" s="2">
        <v>15.0</v>
      </c>
      <c r="I97" s="2">
        <v>94.1</v>
      </c>
      <c r="J97" s="2">
        <v>5.79</v>
      </c>
      <c r="K97" s="2">
        <v>0.0</v>
      </c>
      <c r="L97" s="2">
        <v>4.5</v>
      </c>
      <c r="M97" s="2">
        <v>607898.12</v>
      </c>
      <c r="N97" s="2">
        <v>135404.85</v>
      </c>
      <c r="O97" s="2">
        <f t="shared" si="1"/>
        <v>0</v>
      </c>
      <c r="P97" s="2">
        <f t="shared" si="2"/>
        <v>0</v>
      </c>
      <c r="Q97" s="2">
        <f t="shared" si="3"/>
        <v>0</v>
      </c>
      <c r="R97" s="2">
        <f t="shared" si="4"/>
        <v>0</v>
      </c>
      <c r="S97" s="2">
        <f t="shared" si="5"/>
        <v>0</v>
      </c>
      <c r="T97" s="2">
        <f t="shared" si="6"/>
        <v>0</v>
      </c>
      <c r="U97" s="2">
        <f t="shared" si="7"/>
        <v>630640.3789</v>
      </c>
      <c r="V97" s="2">
        <f t="shared" si="8"/>
        <v>-22742.25894</v>
      </c>
    </row>
    <row r="98" ht="15.75" customHeight="1">
      <c r="A98" s="2" t="s">
        <v>46</v>
      </c>
      <c r="B98" s="3">
        <v>45658.0</v>
      </c>
      <c r="C98" s="2" t="s">
        <v>27</v>
      </c>
      <c r="D98" s="2" t="s">
        <v>28</v>
      </c>
      <c r="E98" s="2">
        <v>61132.07</v>
      </c>
      <c r="F98" s="2">
        <v>6394.0</v>
      </c>
      <c r="G98" s="2">
        <v>0.163</v>
      </c>
      <c r="H98" s="2">
        <v>19.0</v>
      </c>
      <c r="I98" s="2">
        <v>91.0</v>
      </c>
      <c r="J98" s="2">
        <v>19.6</v>
      </c>
      <c r="K98" s="2">
        <v>0.0</v>
      </c>
      <c r="L98" s="2">
        <v>4.4</v>
      </c>
      <c r="M98" s="2">
        <v>691113.62</v>
      </c>
      <c r="N98" s="2">
        <v>135145.44</v>
      </c>
      <c r="O98" s="2">
        <f t="shared" si="1"/>
        <v>0</v>
      </c>
      <c r="P98" s="2">
        <f t="shared" si="2"/>
        <v>0</v>
      </c>
      <c r="Q98" s="2">
        <f t="shared" si="3"/>
        <v>0</v>
      </c>
      <c r="R98" s="2">
        <f t="shared" si="4"/>
        <v>0</v>
      </c>
      <c r="S98" s="2">
        <f t="shared" si="5"/>
        <v>0</v>
      </c>
      <c r="T98" s="2">
        <f t="shared" si="6"/>
        <v>1</v>
      </c>
      <c r="U98" s="2">
        <f t="shared" si="7"/>
        <v>694520.1372</v>
      </c>
      <c r="V98" s="2">
        <f t="shared" si="8"/>
        <v>-3406.517151</v>
      </c>
    </row>
    <row r="99" ht="15.75" customHeight="1">
      <c r="A99" s="2" t="s">
        <v>46</v>
      </c>
      <c r="B99" s="3">
        <v>45689.0</v>
      </c>
      <c r="C99" s="2" t="s">
        <v>27</v>
      </c>
      <c r="D99" s="2" t="s">
        <v>28</v>
      </c>
      <c r="E99" s="2">
        <v>78839.39</v>
      </c>
      <c r="F99" s="2">
        <v>5150.0</v>
      </c>
      <c r="G99" s="2">
        <v>0.171</v>
      </c>
      <c r="H99" s="2">
        <v>13.0</v>
      </c>
      <c r="I99" s="2">
        <v>85.8</v>
      </c>
      <c r="J99" s="2">
        <v>7.57</v>
      </c>
      <c r="K99" s="2">
        <v>0.0</v>
      </c>
      <c r="L99" s="2">
        <v>4.3</v>
      </c>
      <c r="M99" s="2">
        <v>735509.4</v>
      </c>
      <c r="N99" s="2">
        <v>83895.96</v>
      </c>
      <c r="O99" s="2">
        <f t="shared" si="1"/>
        <v>0</v>
      </c>
      <c r="P99" s="2">
        <f t="shared" si="2"/>
        <v>0</v>
      </c>
      <c r="Q99" s="2">
        <f t="shared" si="3"/>
        <v>0</v>
      </c>
      <c r="R99" s="2">
        <f t="shared" si="4"/>
        <v>0</v>
      </c>
      <c r="S99" s="2">
        <f t="shared" si="5"/>
        <v>0</v>
      </c>
      <c r="T99" s="2">
        <f t="shared" si="6"/>
        <v>1</v>
      </c>
      <c r="U99" s="2">
        <f t="shared" si="7"/>
        <v>658739.9098</v>
      </c>
      <c r="V99" s="2">
        <f t="shared" si="8"/>
        <v>76769.49016</v>
      </c>
    </row>
    <row r="100" ht="15.75" customHeight="1">
      <c r="A100" s="2" t="s">
        <v>46</v>
      </c>
      <c r="B100" s="3">
        <v>45717.0</v>
      </c>
      <c r="C100" s="2" t="s">
        <v>27</v>
      </c>
      <c r="D100" s="2" t="s">
        <v>28</v>
      </c>
      <c r="E100" s="2">
        <v>38752.8</v>
      </c>
      <c r="F100" s="2">
        <v>4712.0</v>
      </c>
      <c r="G100" s="2">
        <v>0.075</v>
      </c>
      <c r="H100" s="2">
        <v>15.0</v>
      </c>
      <c r="I100" s="2">
        <v>89.7</v>
      </c>
      <c r="J100" s="2"/>
      <c r="K100" s="2">
        <v>0.0</v>
      </c>
      <c r="L100" s="2">
        <v>4.3</v>
      </c>
      <c r="M100" s="2">
        <v>605775.33</v>
      </c>
      <c r="N100" s="2">
        <v>107194.6</v>
      </c>
      <c r="O100" s="2">
        <f t="shared" si="1"/>
        <v>0</v>
      </c>
      <c r="P100" s="2">
        <f t="shared" si="2"/>
        <v>0</v>
      </c>
      <c r="Q100" s="2">
        <f t="shared" si="3"/>
        <v>0</v>
      </c>
      <c r="R100" s="2">
        <f t="shared" si="4"/>
        <v>0</v>
      </c>
      <c r="S100" s="2">
        <f t="shared" si="5"/>
        <v>0</v>
      </c>
      <c r="T100" s="2">
        <f t="shared" si="6"/>
        <v>1</v>
      </c>
      <c r="U100" s="2">
        <f t="shared" si="7"/>
        <v>607347.7852</v>
      </c>
      <c r="V100" s="2">
        <f t="shared" si="8"/>
        <v>-1572.455248</v>
      </c>
    </row>
    <row r="101" ht="15.75" customHeight="1">
      <c r="A101" s="2" t="s">
        <v>46</v>
      </c>
      <c r="B101" s="3">
        <v>45748.0</v>
      </c>
      <c r="C101" s="2" t="s">
        <v>27</v>
      </c>
      <c r="D101" s="2" t="s">
        <v>28</v>
      </c>
      <c r="E101" s="2">
        <v>55101.1</v>
      </c>
      <c r="F101" s="2">
        <v>5281.0</v>
      </c>
      <c r="G101" s="2">
        <v>0.189</v>
      </c>
      <c r="H101" s="2">
        <v>11.0</v>
      </c>
      <c r="I101" s="2">
        <v>91.0</v>
      </c>
      <c r="J101" s="2">
        <v>2.7</v>
      </c>
      <c r="K101" s="2">
        <v>0.0</v>
      </c>
      <c r="L101" s="2">
        <v>4.4</v>
      </c>
      <c r="M101" s="2">
        <v>675177.68</v>
      </c>
      <c r="N101" s="2">
        <v>105628.68</v>
      </c>
      <c r="O101" s="2">
        <f t="shared" si="1"/>
        <v>0</v>
      </c>
      <c r="P101" s="2">
        <f t="shared" si="2"/>
        <v>0</v>
      </c>
      <c r="Q101" s="2">
        <f t="shared" si="3"/>
        <v>0</v>
      </c>
      <c r="R101" s="2">
        <f t="shared" si="4"/>
        <v>0</v>
      </c>
      <c r="S101" s="2">
        <f t="shared" si="5"/>
        <v>0</v>
      </c>
      <c r="T101" s="2">
        <f t="shared" si="6"/>
        <v>1</v>
      </c>
      <c r="U101" s="2">
        <f t="shared" si="7"/>
        <v>649673.0273</v>
      </c>
      <c r="V101" s="2">
        <f t="shared" si="8"/>
        <v>25504.65272</v>
      </c>
    </row>
    <row r="102" ht="15.75" customHeight="1">
      <c r="A102" s="2" t="s">
        <v>47</v>
      </c>
      <c r="B102" s="3">
        <v>45658.0</v>
      </c>
      <c r="C102" s="2" t="s">
        <v>15</v>
      </c>
      <c r="D102" s="2" t="s">
        <v>28</v>
      </c>
      <c r="E102" s="2">
        <v>53084.76</v>
      </c>
      <c r="F102" s="2">
        <v>3642.0</v>
      </c>
      <c r="G102" s="2">
        <v>0.15</v>
      </c>
      <c r="H102" s="2">
        <v>12.0</v>
      </c>
      <c r="I102" s="2">
        <v>91.4</v>
      </c>
      <c r="J102" s="2">
        <v>0.2</v>
      </c>
      <c r="K102" s="2">
        <v>0.0</v>
      </c>
      <c r="L102" s="2">
        <v>4.4</v>
      </c>
      <c r="M102" s="2">
        <v>635181.35</v>
      </c>
      <c r="N102" s="2">
        <v>83341.25</v>
      </c>
      <c r="O102" s="2">
        <f t="shared" si="1"/>
        <v>1</v>
      </c>
      <c r="P102" s="2">
        <f t="shared" si="2"/>
        <v>0</v>
      </c>
      <c r="Q102" s="2">
        <f t="shared" si="3"/>
        <v>0</v>
      </c>
      <c r="R102" s="2">
        <f t="shared" si="4"/>
        <v>0</v>
      </c>
      <c r="S102" s="2">
        <f t="shared" si="5"/>
        <v>0</v>
      </c>
      <c r="T102" s="2">
        <f t="shared" si="6"/>
        <v>1</v>
      </c>
      <c r="U102" s="2">
        <f t="shared" si="7"/>
        <v>575411.4739</v>
      </c>
      <c r="V102" s="2">
        <f t="shared" si="8"/>
        <v>59769.87608</v>
      </c>
    </row>
    <row r="103" ht="15.75" customHeight="1">
      <c r="A103" s="2" t="s">
        <v>47</v>
      </c>
      <c r="B103" s="3">
        <v>45689.0</v>
      </c>
      <c r="C103" s="2" t="s">
        <v>15</v>
      </c>
      <c r="D103" s="2" t="s">
        <v>28</v>
      </c>
      <c r="E103" s="2">
        <v>63101.59</v>
      </c>
      <c r="F103" s="2">
        <v>4373.0</v>
      </c>
      <c r="G103" s="2">
        <v>0.173</v>
      </c>
      <c r="H103" s="2">
        <v>14.0</v>
      </c>
      <c r="I103" s="2">
        <v>90.4</v>
      </c>
      <c r="J103" s="2">
        <v>7.87</v>
      </c>
      <c r="K103" s="2">
        <v>0.0</v>
      </c>
      <c r="L103" s="2">
        <v>4.7</v>
      </c>
      <c r="M103" s="2">
        <v>586626.94</v>
      </c>
      <c r="N103" s="2">
        <v>86498.55</v>
      </c>
      <c r="O103" s="2">
        <f t="shared" si="1"/>
        <v>1</v>
      </c>
      <c r="P103" s="2">
        <f t="shared" si="2"/>
        <v>0</v>
      </c>
      <c r="Q103" s="2">
        <f t="shared" si="3"/>
        <v>0</v>
      </c>
      <c r="R103" s="2">
        <f t="shared" si="4"/>
        <v>0</v>
      </c>
      <c r="S103" s="2">
        <f t="shared" si="5"/>
        <v>0</v>
      </c>
      <c r="T103" s="2">
        <f t="shared" si="6"/>
        <v>1</v>
      </c>
      <c r="U103" s="2">
        <f t="shared" si="7"/>
        <v>609231.3685</v>
      </c>
      <c r="V103" s="2">
        <f t="shared" si="8"/>
        <v>-22604.42849</v>
      </c>
    </row>
    <row r="104" ht="15.75" customHeight="1">
      <c r="A104" s="2" t="s">
        <v>47</v>
      </c>
      <c r="B104" s="3">
        <v>45717.0</v>
      </c>
      <c r="C104" s="2" t="s">
        <v>15</v>
      </c>
      <c r="D104" s="2" t="s">
        <v>28</v>
      </c>
      <c r="E104" s="2">
        <v>90084.4</v>
      </c>
      <c r="F104" s="2">
        <v>6832.0</v>
      </c>
      <c r="G104" s="2">
        <v>0.185</v>
      </c>
      <c r="H104" s="2">
        <v>14.0</v>
      </c>
      <c r="I104" s="2">
        <v>80.5</v>
      </c>
      <c r="J104" s="2">
        <v>0.77</v>
      </c>
      <c r="K104" s="2">
        <v>1.0</v>
      </c>
      <c r="L104" s="2">
        <v>4.4</v>
      </c>
      <c r="M104" s="2">
        <v>740102.64</v>
      </c>
      <c r="N104" s="2">
        <v>114299.07</v>
      </c>
      <c r="O104" s="2">
        <f t="shared" si="1"/>
        <v>1</v>
      </c>
      <c r="P104" s="2">
        <f t="shared" si="2"/>
        <v>0</v>
      </c>
      <c r="Q104" s="2">
        <f t="shared" si="3"/>
        <v>0</v>
      </c>
      <c r="R104" s="2">
        <f t="shared" si="4"/>
        <v>0</v>
      </c>
      <c r="S104" s="2">
        <f t="shared" si="5"/>
        <v>0</v>
      </c>
      <c r="T104" s="2">
        <f t="shared" si="6"/>
        <v>1</v>
      </c>
      <c r="U104" s="2">
        <f t="shared" si="7"/>
        <v>696616.0299</v>
      </c>
      <c r="V104" s="2">
        <f t="shared" si="8"/>
        <v>43486.6101</v>
      </c>
    </row>
    <row r="105" ht="15.75" customHeight="1">
      <c r="A105" s="2" t="s">
        <v>47</v>
      </c>
      <c r="B105" s="3">
        <v>45748.0</v>
      </c>
      <c r="C105" s="2" t="s">
        <v>15</v>
      </c>
      <c r="D105" s="2" t="s">
        <v>28</v>
      </c>
      <c r="E105" s="2">
        <v>32266.64</v>
      </c>
      <c r="F105" s="2">
        <v>2414.0</v>
      </c>
      <c r="G105" s="2">
        <v>0.08</v>
      </c>
      <c r="H105" s="2">
        <v>7.0</v>
      </c>
      <c r="I105" s="2">
        <v>92.1</v>
      </c>
      <c r="J105" s="2">
        <v>1.48</v>
      </c>
      <c r="K105" s="2">
        <v>0.0</v>
      </c>
      <c r="L105" s="2">
        <v>5.0</v>
      </c>
      <c r="M105" s="2">
        <v>625514.04</v>
      </c>
      <c r="N105" s="2">
        <v>120685.08</v>
      </c>
      <c r="O105" s="2">
        <f t="shared" si="1"/>
        <v>1</v>
      </c>
      <c r="P105" s="2">
        <f t="shared" si="2"/>
        <v>0</v>
      </c>
      <c r="Q105" s="2">
        <f t="shared" si="3"/>
        <v>0</v>
      </c>
      <c r="R105" s="2">
        <f t="shared" si="4"/>
        <v>0</v>
      </c>
      <c r="S105" s="2">
        <f t="shared" si="5"/>
        <v>0</v>
      </c>
      <c r="T105" s="2">
        <f t="shared" si="6"/>
        <v>1</v>
      </c>
      <c r="U105" s="2">
        <f t="shared" si="7"/>
        <v>511102.4467</v>
      </c>
      <c r="V105" s="2">
        <f t="shared" si="8"/>
        <v>114411.5933</v>
      </c>
    </row>
    <row r="106" ht="15.75" customHeight="1">
      <c r="A106" s="2" t="s">
        <v>48</v>
      </c>
      <c r="B106" s="3">
        <v>45658.0</v>
      </c>
      <c r="C106" s="2" t="s">
        <v>27</v>
      </c>
      <c r="D106" s="2" t="s">
        <v>18</v>
      </c>
      <c r="E106" s="2">
        <v>57919.07</v>
      </c>
      <c r="F106" s="2">
        <v>7374.0</v>
      </c>
      <c r="G106" s="2">
        <v>0.103</v>
      </c>
      <c r="H106" s="2">
        <v>21.0</v>
      </c>
      <c r="I106" s="2">
        <v>82.3</v>
      </c>
      <c r="J106" s="2">
        <v>2.87</v>
      </c>
      <c r="K106" s="2">
        <v>0.0</v>
      </c>
      <c r="L106" s="2">
        <v>2.9</v>
      </c>
      <c r="M106" s="2">
        <v>727227.2</v>
      </c>
      <c r="N106" s="2">
        <v>121292.01</v>
      </c>
      <c r="O106" s="2">
        <f t="shared" si="1"/>
        <v>0</v>
      </c>
      <c r="P106" s="2">
        <f t="shared" si="2"/>
        <v>0</v>
      </c>
      <c r="Q106" s="2">
        <f t="shared" si="3"/>
        <v>0</v>
      </c>
      <c r="R106" s="2">
        <f t="shared" si="4"/>
        <v>0</v>
      </c>
      <c r="S106" s="2">
        <f t="shared" si="5"/>
        <v>1</v>
      </c>
      <c r="T106" s="2">
        <f t="shared" si="6"/>
        <v>0</v>
      </c>
      <c r="U106" s="2">
        <f t="shared" si="7"/>
        <v>699380.8791</v>
      </c>
      <c r="V106" s="2">
        <f t="shared" si="8"/>
        <v>27846.32093</v>
      </c>
    </row>
    <row r="107" ht="15.75" customHeight="1">
      <c r="A107" s="2" t="s">
        <v>48</v>
      </c>
      <c r="B107" s="3">
        <v>45689.0</v>
      </c>
      <c r="C107" s="2" t="s">
        <v>27</v>
      </c>
      <c r="D107" s="2" t="s">
        <v>18</v>
      </c>
      <c r="E107" s="2">
        <v>74679.35</v>
      </c>
      <c r="F107" s="2">
        <v>8739.0</v>
      </c>
      <c r="G107" s="2">
        <v>0.056</v>
      </c>
      <c r="H107" s="2">
        <v>21.0</v>
      </c>
      <c r="I107" s="2">
        <v>91.8</v>
      </c>
      <c r="J107" s="2">
        <v>2.83</v>
      </c>
      <c r="K107" s="2">
        <v>0.0</v>
      </c>
      <c r="L107" s="2">
        <v>3.0</v>
      </c>
      <c r="M107" s="2">
        <v>783797.89</v>
      </c>
      <c r="N107" s="2">
        <v>157620.7</v>
      </c>
      <c r="O107" s="2">
        <f t="shared" si="1"/>
        <v>0</v>
      </c>
      <c r="P107" s="2">
        <f t="shared" si="2"/>
        <v>0</v>
      </c>
      <c r="Q107" s="2">
        <f t="shared" si="3"/>
        <v>0</v>
      </c>
      <c r="R107" s="2">
        <f t="shared" si="4"/>
        <v>0</v>
      </c>
      <c r="S107" s="2">
        <f t="shared" si="5"/>
        <v>1</v>
      </c>
      <c r="T107" s="2">
        <f t="shared" si="6"/>
        <v>0</v>
      </c>
      <c r="U107" s="2">
        <f t="shared" si="7"/>
        <v>792260.7853</v>
      </c>
      <c r="V107" s="2">
        <f t="shared" si="8"/>
        <v>-8462.895296</v>
      </c>
    </row>
    <row r="108" ht="15.75" customHeight="1">
      <c r="A108" s="2" t="s">
        <v>48</v>
      </c>
      <c r="B108" s="3">
        <v>45717.0</v>
      </c>
      <c r="C108" s="2" t="s">
        <v>27</v>
      </c>
      <c r="D108" s="2" t="s">
        <v>18</v>
      </c>
      <c r="E108" s="2">
        <v>64294.23</v>
      </c>
      <c r="F108" s="2">
        <v>6992.0</v>
      </c>
      <c r="G108" s="2">
        <v>0.133</v>
      </c>
      <c r="H108" s="2">
        <v>14.0</v>
      </c>
      <c r="I108" s="2">
        <v>94.1</v>
      </c>
      <c r="J108" s="2">
        <v>0.25</v>
      </c>
      <c r="K108" s="2">
        <v>0.0</v>
      </c>
      <c r="L108" s="2">
        <v>3.0</v>
      </c>
      <c r="M108" s="2">
        <v>795153.84</v>
      </c>
      <c r="N108" s="2">
        <v>143194.21</v>
      </c>
      <c r="O108" s="2">
        <f t="shared" si="1"/>
        <v>0</v>
      </c>
      <c r="P108" s="2">
        <f t="shared" si="2"/>
        <v>0</v>
      </c>
      <c r="Q108" s="2">
        <f t="shared" si="3"/>
        <v>0</v>
      </c>
      <c r="R108" s="2">
        <f t="shared" si="4"/>
        <v>0</v>
      </c>
      <c r="S108" s="2">
        <f t="shared" si="5"/>
        <v>1</v>
      </c>
      <c r="T108" s="2">
        <f t="shared" si="6"/>
        <v>0</v>
      </c>
      <c r="U108" s="2">
        <f t="shared" si="7"/>
        <v>727259.1799</v>
      </c>
      <c r="V108" s="2">
        <f t="shared" si="8"/>
        <v>67894.66014</v>
      </c>
    </row>
    <row r="109" ht="15.75" customHeight="1">
      <c r="A109" s="2" t="s">
        <v>48</v>
      </c>
      <c r="B109" s="3">
        <v>45748.0</v>
      </c>
      <c r="C109" s="2" t="s">
        <v>27</v>
      </c>
      <c r="D109" s="2" t="s">
        <v>18</v>
      </c>
      <c r="E109" s="2">
        <v>31042.03</v>
      </c>
      <c r="F109" s="2">
        <v>7107.0</v>
      </c>
      <c r="G109" s="2">
        <v>0.051</v>
      </c>
      <c r="H109" s="2">
        <v>15.0</v>
      </c>
      <c r="I109" s="2">
        <v>87.0</v>
      </c>
      <c r="J109" s="2">
        <v>13.33</v>
      </c>
      <c r="K109" s="2">
        <v>0.0</v>
      </c>
      <c r="L109" s="2">
        <v>3.2</v>
      </c>
      <c r="M109" s="2">
        <v>665594.94</v>
      </c>
      <c r="N109" s="2">
        <v>127597.34</v>
      </c>
      <c r="O109" s="2">
        <f t="shared" si="1"/>
        <v>0</v>
      </c>
      <c r="P109" s="2">
        <f t="shared" si="2"/>
        <v>0</v>
      </c>
      <c r="Q109" s="2">
        <f t="shared" si="3"/>
        <v>0</v>
      </c>
      <c r="R109" s="2">
        <f t="shared" si="4"/>
        <v>0</v>
      </c>
      <c r="S109" s="2">
        <f t="shared" si="5"/>
        <v>1</v>
      </c>
      <c r="T109" s="2">
        <f t="shared" si="6"/>
        <v>0</v>
      </c>
      <c r="U109" s="2">
        <f t="shared" si="7"/>
        <v>671703.0298</v>
      </c>
      <c r="V109" s="2">
        <f t="shared" si="8"/>
        <v>-6108.089805</v>
      </c>
    </row>
    <row r="110" ht="15.75" customHeight="1">
      <c r="A110" s="2" t="s">
        <v>49</v>
      </c>
      <c r="B110" s="3">
        <v>45658.0</v>
      </c>
      <c r="C110" s="2" t="s">
        <v>15</v>
      </c>
      <c r="D110" s="2" t="s">
        <v>28</v>
      </c>
      <c r="E110" s="2">
        <v>75265.02</v>
      </c>
      <c r="F110" s="2">
        <v>6975.0</v>
      </c>
      <c r="G110" s="2">
        <v>0.157</v>
      </c>
      <c r="H110" s="2">
        <v>20.0</v>
      </c>
      <c r="I110" s="2">
        <v>73.8</v>
      </c>
      <c r="J110" s="2">
        <v>6.35</v>
      </c>
      <c r="K110" s="2">
        <v>1.0</v>
      </c>
      <c r="L110" s="2">
        <v>3.8</v>
      </c>
      <c r="M110" s="2">
        <v>709478.39</v>
      </c>
      <c r="N110" s="2">
        <v>71294.27</v>
      </c>
      <c r="O110" s="2">
        <f t="shared" si="1"/>
        <v>1</v>
      </c>
      <c r="P110" s="2">
        <f t="shared" si="2"/>
        <v>0</v>
      </c>
      <c r="Q110" s="2">
        <f t="shared" si="3"/>
        <v>0</v>
      </c>
      <c r="R110" s="2">
        <f t="shared" si="4"/>
        <v>0</v>
      </c>
      <c r="S110" s="2">
        <f t="shared" si="5"/>
        <v>0</v>
      </c>
      <c r="T110" s="2">
        <f t="shared" si="6"/>
        <v>1</v>
      </c>
      <c r="U110" s="2">
        <f t="shared" si="7"/>
        <v>664999.6476</v>
      </c>
      <c r="V110" s="2">
        <f t="shared" si="8"/>
        <v>44478.74238</v>
      </c>
    </row>
    <row r="111" ht="15.75" customHeight="1">
      <c r="A111" s="2" t="s">
        <v>49</v>
      </c>
      <c r="B111" s="3">
        <v>45689.0</v>
      </c>
      <c r="C111" s="2" t="s">
        <v>15</v>
      </c>
      <c r="D111" s="2" t="s">
        <v>28</v>
      </c>
      <c r="E111" s="2">
        <v>69411.7</v>
      </c>
      <c r="F111" s="2">
        <v>5493.0</v>
      </c>
      <c r="G111" s="2">
        <v>0.292</v>
      </c>
      <c r="H111" s="2">
        <v>13.0</v>
      </c>
      <c r="I111" s="2">
        <v>86.5</v>
      </c>
      <c r="J111" s="2">
        <v>6.69</v>
      </c>
      <c r="K111" s="2">
        <v>0.0</v>
      </c>
      <c r="L111" s="2">
        <v>3.8</v>
      </c>
      <c r="M111" s="2">
        <v>664162.49</v>
      </c>
      <c r="N111" s="2">
        <v>98291.06</v>
      </c>
      <c r="O111" s="2">
        <f t="shared" si="1"/>
        <v>1</v>
      </c>
      <c r="P111" s="2">
        <f t="shared" si="2"/>
        <v>0</v>
      </c>
      <c r="Q111" s="2">
        <f t="shared" si="3"/>
        <v>0</v>
      </c>
      <c r="R111" s="2">
        <f t="shared" si="4"/>
        <v>0</v>
      </c>
      <c r="S111" s="2">
        <f t="shared" si="5"/>
        <v>0</v>
      </c>
      <c r="T111" s="2">
        <f t="shared" si="6"/>
        <v>1</v>
      </c>
      <c r="U111" s="2">
        <f t="shared" si="7"/>
        <v>643656.1366</v>
      </c>
      <c r="V111" s="2">
        <f t="shared" si="8"/>
        <v>20506.35343</v>
      </c>
    </row>
    <row r="112" ht="15.75" customHeight="1">
      <c r="A112" s="2" t="s">
        <v>49</v>
      </c>
      <c r="B112" s="3">
        <v>45717.0</v>
      </c>
      <c r="C112" s="2" t="s">
        <v>15</v>
      </c>
      <c r="D112" s="2" t="s">
        <v>28</v>
      </c>
      <c r="E112" s="2">
        <v>51056.15</v>
      </c>
      <c r="F112" s="2">
        <v>5686.0</v>
      </c>
      <c r="G112" s="2">
        <v>0.089</v>
      </c>
      <c r="H112" s="2">
        <v>13.0</v>
      </c>
      <c r="I112" s="2">
        <v>89.9</v>
      </c>
      <c r="J112" s="2">
        <v>1.28</v>
      </c>
      <c r="K112" s="2">
        <v>0.0</v>
      </c>
      <c r="L112" s="2">
        <v>4.2</v>
      </c>
      <c r="M112" s="2">
        <v>633494.21</v>
      </c>
      <c r="N112" s="2">
        <v>105739.47</v>
      </c>
      <c r="O112" s="2">
        <f t="shared" si="1"/>
        <v>1</v>
      </c>
      <c r="P112" s="2">
        <f t="shared" si="2"/>
        <v>0</v>
      </c>
      <c r="Q112" s="2">
        <f t="shared" si="3"/>
        <v>0</v>
      </c>
      <c r="R112" s="2">
        <f t="shared" si="4"/>
        <v>0</v>
      </c>
      <c r="S112" s="2">
        <f t="shared" si="5"/>
        <v>0</v>
      </c>
      <c r="T112" s="2">
        <f t="shared" si="6"/>
        <v>1</v>
      </c>
      <c r="U112" s="2">
        <f t="shared" si="7"/>
        <v>638001.2239</v>
      </c>
      <c r="V112" s="2">
        <f t="shared" si="8"/>
        <v>-4507.013884</v>
      </c>
    </row>
    <row r="113" ht="15.75" customHeight="1">
      <c r="A113" s="2" t="s">
        <v>49</v>
      </c>
      <c r="B113" s="3">
        <v>45748.0</v>
      </c>
      <c r="C113" s="2" t="s">
        <v>15</v>
      </c>
      <c r="D113" s="2" t="s">
        <v>28</v>
      </c>
      <c r="E113" s="2">
        <v>52758.01</v>
      </c>
      <c r="F113" s="2">
        <v>4063.0</v>
      </c>
      <c r="G113" s="2">
        <v>0.057</v>
      </c>
      <c r="H113" s="2">
        <v>12.0</v>
      </c>
      <c r="I113" s="2">
        <v>91.7</v>
      </c>
      <c r="J113" s="2">
        <v>0.92</v>
      </c>
      <c r="K113" s="2">
        <v>0.0</v>
      </c>
      <c r="L113" s="2">
        <v>3.5</v>
      </c>
      <c r="M113" s="2">
        <v>713611.16</v>
      </c>
      <c r="N113" s="2">
        <v>129717.18</v>
      </c>
      <c r="O113" s="2">
        <f t="shared" si="1"/>
        <v>1</v>
      </c>
      <c r="P113" s="2">
        <f t="shared" si="2"/>
        <v>0</v>
      </c>
      <c r="Q113" s="2">
        <f t="shared" si="3"/>
        <v>0</v>
      </c>
      <c r="R113" s="2">
        <f t="shared" si="4"/>
        <v>0</v>
      </c>
      <c r="S113" s="2">
        <f t="shared" si="5"/>
        <v>0</v>
      </c>
      <c r="T113" s="2">
        <f t="shared" si="6"/>
        <v>1</v>
      </c>
      <c r="U113" s="2">
        <f t="shared" si="7"/>
        <v>590127.1166</v>
      </c>
      <c r="V113" s="2">
        <f t="shared" si="8"/>
        <v>123484.0434</v>
      </c>
    </row>
    <row r="114" ht="15.75" customHeight="1">
      <c r="A114" s="2" t="s">
        <v>50</v>
      </c>
      <c r="B114" s="3">
        <v>45658.0</v>
      </c>
      <c r="C114" s="2" t="s">
        <v>27</v>
      </c>
      <c r="D114" s="2" t="s">
        <v>28</v>
      </c>
      <c r="E114" s="2">
        <v>61426.04</v>
      </c>
      <c r="F114" s="2">
        <v>8966.0</v>
      </c>
      <c r="G114" s="2">
        <v>0.173</v>
      </c>
      <c r="H114" s="2">
        <v>22.0</v>
      </c>
      <c r="I114" s="2">
        <v>76.4</v>
      </c>
      <c r="J114" s="2">
        <v>1.05</v>
      </c>
      <c r="K114" s="2">
        <v>0.0</v>
      </c>
      <c r="L114" s="2">
        <v>3.1</v>
      </c>
      <c r="M114" s="2">
        <v>778397.97</v>
      </c>
      <c r="N114" s="2">
        <v>120044.41</v>
      </c>
      <c r="O114" s="2">
        <f t="shared" si="1"/>
        <v>0</v>
      </c>
      <c r="P114" s="2">
        <f t="shared" si="2"/>
        <v>0</v>
      </c>
      <c r="Q114" s="2">
        <f t="shared" si="3"/>
        <v>0</v>
      </c>
      <c r="R114" s="2">
        <f t="shared" si="4"/>
        <v>0</v>
      </c>
      <c r="S114" s="2">
        <f t="shared" si="5"/>
        <v>0</v>
      </c>
      <c r="T114" s="2">
        <f t="shared" si="6"/>
        <v>1</v>
      </c>
      <c r="U114" s="2">
        <f t="shared" si="7"/>
        <v>740829.5026</v>
      </c>
      <c r="V114" s="2">
        <f t="shared" si="8"/>
        <v>37568.46739</v>
      </c>
    </row>
    <row r="115" ht="15.75" customHeight="1">
      <c r="A115" s="2" t="s">
        <v>50</v>
      </c>
      <c r="B115" s="3">
        <v>45689.0</v>
      </c>
      <c r="C115" s="2" t="s">
        <v>27</v>
      </c>
      <c r="D115" s="2" t="s">
        <v>28</v>
      </c>
      <c r="E115" s="2">
        <v>80176.34</v>
      </c>
      <c r="F115" s="2">
        <v>9489.0</v>
      </c>
      <c r="G115" s="2">
        <v>0.142</v>
      </c>
      <c r="H115" s="2">
        <v>22.0</v>
      </c>
      <c r="I115" s="2">
        <v>94.3</v>
      </c>
      <c r="J115" s="2">
        <v>2.67</v>
      </c>
      <c r="K115" s="2">
        <v>0.0</v>
      </c>
      <c r="L115" s="2">
        <v>3.5</v>
      </c>
      <c r="M115" s="2">
        <v>873380.02</v>
      </c>
      <c r="N115" s="2">
        <v>149734.76</v>
      </c>
      <c r="O115" s="2">
        <f t="shared" si="1"/>
        <v>0</v>
      </c>
      <c r="P115" s="2">
        <f t="shared" si="2"/>
        <v>0</v>
      </c>
      <c r="Q115" s="2">
        <f t="shared" si="3"/>
        <v>0</v>
      </c>
      <c r="R115" s="2">
        <f t="shared" si="4"/>
        <v>0</v>
      </c>
      <c r="S115" s="2">
        <f t="shared" si="5"/>
        <v>0</v>
      </c>
      <c r="T115" s="2">
        <f t="shared" si="6"/>
        <v>1</v>
      </c>
      <c r="U115" s="2">
        <f t="shared" si="7"/>
        <v>831226.17</v>
      </c>
      <c r="V115" s="2">
        <f t="shared" si="8"/>
        <v>42153.85005</v>
      </c>
    </row>
    <row r="116" ht="15.75" customHeight="1">
      <c r="A116" s="2" t="s">
        <v>50</v>
      </c>
      <c r="B116" s="3">
        <v>45717.0</v>
      </c>
      <c r="C116" s="2" t="s">
        <v>27</v>
      </c>
      <c r="D116" s="2" t="s">
        <v>28</v>
      </c>
      <c r="E116" s="2">
        <v>33605.18</v>
      </c>
      <c r="F116" s="2">
        <v>9225.0</v>
      </c>
      <c r="G116" s="2">
        <v>0.159</v>
      </c>
      <c r="H116" s="2">
        <v>23.0</v>
      </c>
      <c r="I116" s="2">
        <v>88.4</v>
      </c>
      <c r="J116" s="2">
        <v>5.91</v>
      </c>
      <c r="K116" s="2">
        <v>0.0</v>
      </c>
      <c r="L116" s="2">
        <v>2.8</v>
      </c>
      <c r="M116" s="2">
        <v>697287.9</v>
      </c>
      <c r="N116" s="2">
        <v>128208.33</v>
      </c>
      <c r="O116" s="2">
        <f t="shared" si="1"/>
        <v>0</v>
      </c>
      <c r="P116" s="2">
        <f t="shared" si="2"/>
        <v>0</v>
      </c>
      <c r="Q116" s="2">
        <f t="shared" si="3"/>
        <v>0</v>
      </c>
      <c r="R116" s="2">
        <f t="shared" si="4"/>
        <v>0</v>
      </c>
      <c r="S116" s="2">
        <f t="shared" si="5"/>
        <v>0</v>
      </c>
      <c r="T116" s="2">
        <f t="shared" si="6"/>
        <v>1</v>
      </c>
      <c r="U116" s="2">
        <f t="shared" si="7"/>
        <v>750417.8948</v>
      </c>
      <c r="V116" s="2">
        <f t="shared" si="8"/>
        <v>-53129.99481</v>
      </c>
    </row>
    <row r="117" ht="15.75" customHeight="1">
      <c r="A117" s="2" t="s">
        <v>50</v>
      </c>
      <c r="B117" s="3">
        <v>45748.0</v>
      </c>
      <c r="C117" s="2" t="s">
        <v>27</v>
      </c>
      <c r="D117" s="2" t="s">
        <v>28</v>
      </c>
      <c r="E117" s="2">
        <v>25990.54</v>
      </c>
      <c r="F117" s="2">
        <v>9249.0</v>
      </c>
      <c r="G117" s="2">
        <v>0.139</v>
      </c>
      <c r="H117" s="2">
        <v>23.0</v>
      </c>
      <c r="I117" s="2">
        <v>92.5</v>
      </c>
      <c r="J117" s="2">
        <v>6.37</v>
      </c>
      <c r="K117" s="2">
        <v>0.0</v>
      </c>
      <c r="L117" s="2">
        <v>3.3</v>
      </c>
      <c r="M117" s="2">
        <v>718074.79</v>
      </c>
      <c r="N117" s="2">
        <v>115819.87</v>
      </c>
      <c r="O117" s="2">
        <f t="shared" si="1"/>
        <v>0</v>
      </c>
      <c r="P117" s="2">
        <f t="shared" si="2"/>
        <v>0</v>
      </c>
      <c r="Q117" s="2">
        <f t="shared" si="3"/>
        <v>0</v>
      </c>
      <c r="R117" s="2">
        <f t="shared" si="4"/>
        <v>0</v>
      </c>
      <c r="S117" s="2">
        <f t="shared" si="5"/>
        <v>0</v>
      </c>
      <c r="T117" s="2">
        <f t="shared" si="6"/>
        <v>1</v>
      </c>
      <c r="U117" s="2">
        <f t="shared" si="7"/>
        <v>753752.6374</v>
      </c>
      <c r="V117" s="2">
        <f t="shared" si="8"/>
        <v>-35677.84743</v>
      </c>
    </row>
    <row r="118" ht="15.75" customHeight="1">
      <c r="A118" s="2" t="s">
        <v>51</v>
      </c>
      <c r="B118" s="3">
        <v>45658.0</v>
      </c>
      <c r="C118" s="2" t="s">
        <v>27</v>
      </c>
      <c r="D118" s="2" t="s">
        <v>16</v>
      </c>
      <c r="E118" s="2">
        <v>43685.14</v>
      </c>
      <c r="F118" s="2">
        <v>7821.0</v>
      </c>
      <c r="G118" s="2">
        <v>0.19</v>
      </c>
      <c r="H118" s="2">
        <v>17.0</v>
      </c>
      <c r="I118" s="2">
        <v>91.0</v>
      </c>
      <c r="J118" s="2">
        <v>2.49</v>
      </c>
      <c r="K118" s="2">
        <v>1.0</v>
      </c>
      <c r="L118" s="2">
        <v>4.7</v>
      </c>
      <c r="M118" s="2">
        <v>714942.43</v>
      </c>
      <c r="N118" s="2">
        <v>94697.71</v>
      </c>
      <c r="O118" s="2">
        <f t="shared" si="1"/>
        <v>0</v>
      </c>
      <c r="P118" s="2">
        <f t="shared" si="2"/>
        <v>0</v>
      </c>
      <c r="Q118" s="2">
        <f t="shared" si="3"/>
        <v>0</v>
      </c>
      <c r="R118" s="2">
        <f t="shared" si="4"/>
        <v>0</v>
      </c>
      <c r="S118" s="2">
        <f t="shared" si="5"/>
        <v>0</v>
      </c>
      <c r="T118" s="2">
        <f t="shared" si="6"/>
        <v>0</v>
      </c>
      <c r="U118" s="2">
        <f t="shared" si="7"/>
        <v>722152.7822</v>
      </c>
      <c r="V118" s="2">
        <f t="shared" si="8"/>
        <v>-7210.352162</v>
      </c>
    </row>
    <row r="119" ht="15.75" customHeight="1">
      <c r="A119" s="2" t="s">
        <v>51</v>
      </c>
      <c r="B119" s="3">
        <v>45689.0</v>
      </c>
      <c r="C119" s="2" t="s">
        <v>27</v>
      </c>
      <c r="D119" s="2" t="s">
        <v>16</v>
      </c>
      <c r="E119" s="2">
        <v>57360.01</v>
      </c>
      <c r="F119" s="2">
        <v>8434.0</v>
      </c>
      <c r="G119" s="2">
        <v>0.151</v>
      </c>
      <c r="H119" s="2">
        <v>19.0</v>
      </c>
      <c r="I119" s="2">
        <v>84.1</v>
      </c>
      <c r="J119" s="2">
        <v>1.56</v>
      </c>
      <c r="K119" s="2">
        <v>0.0</v>
      </c>
      <c r="L119" s="2">
        <v>4.7</v>
      </c>
      <c r="M119" s="2">
        <v>820519.04</v>
      </c>
      <c r="N119" s="2">
        <v>99035.88</v>
      </c>
      <c r="O119" s="2">
        <f t="shared" si="1"/>
        <v>0</v>
      </c>
      <c r="P119" s="2">
        <f t="shared" si="2"/>
        <v>0</v>
      </c>
      <c r="Q119" s="2">
        <f t="shared" si="3"/>
        <v>0</v>
      </c>
      <c r="R119" s="2">
        <f t="shared" si="4"/>
        <v>0</v>
      </c>
      <c r="S119" s="2">
        <f t="shared" si="5"/>
        <v>0</v>
      </c>
      <c r="T119" s="2">
        <f t="shared" si="6"/>
        <v>0</v>
      </c>
      <c r="U119" s="2">
        <f t="shared" si="7"/>
        <v>739688.7785</v>
      </c>
      <c r="V119" s="2">
        <f t="shared" si="8"/>
        <v>80830.26154</v>
      </c>
    </row>
    <row r="120" ht="15.75" customHeight="1">
      <c r="A120" s="2" t="s">
        <v>51</v>
      </c>
      <c r="B120" s="3">
        <v>45717.0</v>
      </c>
      <c r="C120" s="2" t="s">
        <v>27</v>
      </c>
      <c r="D120" s="2" t="s">
        <v>16</v>
      </c>
      <c r="E120" s="2">
        <v>42415.47</v>
      </c>
      <c r="F120" s="2">
        <v>8512.0</v>
      </c>
      <c r="G120" s="2">
        <v>0.133</v>
      </c>
      <c r="H120" s="2">
        <v>18.0</v>
      </c>
      <c r="I120" s="2">
        <v>96.8</v>
      </c>
      <c r="J120" s="2">
        <v>14.95</v>
      </c>
      <c r="K120" s="2">
        <v>0.0</v>
      </c>
      <c r="L120" s="2">
        <v>4.6</v>
      </c>
      <c r="M120" s="2">
        <v>684217.32</v>
      </c>
      <c r="N120" s="2">
        <v>136217.19</v>
      </c>
      <c r="O120" s="2">
        <f t="shared" si="1"/>
        <v>0</v>
      </c>
      <c r="P120" s="2">
        <f t="shared" si="2"/>
        <v>0</v>
      </c>
      <c r="Q120" s="2">
        <f t="shared" si="3"/>
        <v>0</v>
      </c>
      <c r="R120" s="2">
        <f t="shared" si="4"/>
        <v>0</v>
      </c>
      <c r="S120" s="2">
        <f t="shared" si="5"/>
        <v>0</v>
      </c>
      <c r="T120" s="2">
        <f t="shared" si="6"/>
        <v>0</v>
      </c>
      <c r="U120" s="2">
        <f t="shared" si="7"/>
        <v>760393.3659</v>
      </c>
      <c r="V120" s="2">
        <f t="shared" si="8"/>
        <v>-76176.0459</v>
      </c>
    </row>
    <row r="121" ht="15.75" customHeight="1">
      <c r="A121" s="2" t="s">
        <v>51</v>
      </c>
      <c r="B121" s="3">
        <v>45748.0</v>
      </c>
      <c r="C121" s="2" t="s">
        <v>27</v>
      </c>
      <c r="D121" s="2" t="s">
        <v>16</v>
      </c>
      <c r="E121" s="2">
        <v>54968.98</v>
      </c>
      <c r="F121" s="2">
        <v>7816.0</v>
      </c>
      <c r="G121" s="2">
        <v>0.232</v>
      </c>
      <c r="H121" s="2">
        <v>19.0</v>
      </c>
      <c r="I121" s="2">
        <v>95.7</v>
      </c>
      <c r="J121" s="2">
        <v>7.85</v>
      </c>
      <c r="K121" s="2">
        <v>0.0</v>
      </c>
      <c r="L121" s="2">
        <v>4.7</v>
      </c>
      <c r="M121" s="2">
        <v>735480.19</v>
      </c>
      <c r="N121" s="2">
        <v>88342.11</v>
      </c>
      <c r="O121" s="2">
        <f t="shared" si="1"/>
        <v>0</v>
      </c>
      <c r="P121" s="2">
        <f t="shared" si="2"/>
        <v>0</v>
      </c>
      <c r="Q121" s="2">
        <f t="shared" si="3"/>
        <v>0</v>
      </c>
      <c r="R121" s="2">
        <f t="shared" si="4"/>
        <v>0</v>
      </c>
      <c r="S121" s="2">
        <f t="shared" si="5"/>
        <v>0</v>
      </c>
      <c r="T121" s="2">
        <f t="shared" si="6"/>
        <v>0</v>
      </c>
      <c r="U121" s="2">
        <f t="shared" si="7"/>
        <v>748612.8653</v>
      </c>
      <c r="V121" s="2">
        <f t="shared" si="8"/>
        <v>-13132.67532</v>
      </c>
    </row>
    <row r="122" ht="15.75" customHeight="1">
      <c r="A122" s="2" t="s">
        <v>52</v>
      </c>
      <c r="B122" s="3">
        <v>45658.0</v>
      </c>
      <c r="C122" s="2" t="s">
        <v>20</v>
      </c>
      <c r="D122" s="2" t="s">
        <v>18</v>
      </c>
      <c r="E122" s="2">
        <v>43896.13</v>
      </c>
      <c r="F122" s="2">
        <v>3853.0</v>
      </c>
      <c r="G122" s="2">
        <v>0.088</v>
      </c>
      <c r="H122" s="2">
        <v>13.0</v>
      </c>
      <c r="I122" s="2">
        <v>83.0</v>
      </c>
      <c r="J122" s="2">
        <v>6.8</v>
      </c>
      <c r="K122" s="2">
        <v>0.0</v>
      </c>
      <c r="L122" s="2">
        <v>4.4</v>
      </c>
      <c r="M122" s="2">
        <v>509484.81</v>
      </c>
      <c r="N122" s="2">
        <v>85742.36</v>
      </c>
      <c r="O122" s="2">
        <f t="shared" si="1"/>
        <v>0</v>
      </c>
      <c r="P122" s="2">
        <f t="shared" si="2"/>
        <v>1</v>
      </c>
      <c r="Q122" s="2">
        <f t="shared" si="3"/>
        <v>0</v>
      </c>
      <c r="R122" s="2">
        <f t="shared" si="4"/>
        <v>0</v>
      </c>
      <c r="S122" s="2">
        <f t="shared" si="5"/>
        <v>1</v>
      </c>
      <c r="T122" s="2">
        <f t="shared" si="6"/>
        <v>0</v>
      </c>
      <c r="U122" s="2">
        <f t="shared" si="7"/>
        <v>558531.6681</v>
      </c>
      <c r="V122" s="2">
        <f t="shared" si="8"/>
        <v>-49046.85806</v>
      </c>
    </row>
    <row r="123" ht="15.75" customHeight="1">
      <c r="A123" s="2" t="s">
        <v>52</v>
      </c>
      <c r="B123" s="3">
        <v>45689.0</v>
      </c>
      <c r="C123" s="2" t="s">
        <v>20</v>
      </c>
      <c r="D123" s="2" t="s">
        <v>18</v>
      </c>
      <c r="E123" s="2">
        <v>83044.17</v>
      </c>
      <c r="F123" s="2">
        <v>3694.0</v>
      </c>
      <c r="G123" s="2">
        <v>0.0</v>
      </c>
      <c r="H123" s="2">
        <v>14.0</v>
      </c>
      <c r="I123" s="2">
        <v>89.4</v>
      </c>
      <c r="J123" s="2">
        <v>2.2</v>
      </c>
      <c r="K123" s="2">
        <v>0.0</v>
      </c>
      <c r="L123" s="2">
        <v>3.7</v>
      </c>
      <c r="M123" s="2">
        <v>654317.09</v>
      </c>
      <c r="N123" s="2">
        <v>121446.89</v>
      </c>
      <c r="O123" s="2">
        <f t="shared" si="1"/>
        <v>0</v>
      </c>
      <c r="P123" s="2">
        <f t="shared" si="2"/>
        <v>1</v>
      </c>
      <c r="Q123" s="2">
        <f t="shared" si="3"/>
        <v>0</v>
      </c>
      <c r="R123" s="2">
        <f t="shared" si="4"/>
        <v>0</v>
      </c>
      <c r="S123" s="2">
        <f t="shared" si="5"/>
        <v>1</v>
      </c>
      <c r="T123" s="2">
        <f t="shared" si="6"/>
        <v>0</v>
      </c>
      <c r="U123" s="2">
        <f t="shared" si="7"/>
        <v>617618.4457</v>
      </c>
      <c r="V123" s="2">
        <f t="shared" si="8"/>
        <v>36698.64431</v>
      </c>
    </row>
    <row r="124" ht="15.75" customHeight="1">
      <c r="A124" s="2" t="s">
        <v>52</v>
      </c>
      <c r="B124" s="3">
        <v>45717.0</v>
      </c>
      <c r="C124" s="2" t="s">
        <v>20</v>
      </c>
      <c r="D124" s="2" t="s">
        <v>18</v>
      </c>
      <c r="E124" s="2">
        <v>48396.13</v>
      </c>
      <c r="F124" s="2">
        <v>4423.0</v>
      </c>
      <c r="G124" s="2">
        <v>0.069</v>
      </c>
      <c r="H124" s="2">
        <v>15.0</v>
      </c>
      <c r="I124" s="2">
        <v>85.7</v>
      </c>
      <c r="J124" s="2">
        <v>1.88</v>
      </c>
      <c r="K124" s="2">
        <v>0.0</v>
      </c>
      <c r="L124" s="2">
        <v>3.9</v>
      </c>
      <c r="M124" s="2">
        <v>557487.26</v>
      </c>
      <c r="N124" s="2">
        <v>76432.19</v>
      </c>
      <c r="O124" s="2">
        <f t="shared" si="1"/>
        <v>0</v>
      </c>
      <c r="P124" s="2">
        <f t="shared" si="2"/>
        <v>1</v>
      </c>
      <c r="Q124" s="2">
        <f t="shared" si="3"/>
        <v>0</v>
      </c>
      <c r="R124" s="2">
        <f t="shared" si="4"/>
        <v>0</v>
      </c>
      <c r="S124" s="2">
        <f t="shared" si="5"/>
        <v>1</v>
      </c>
      <c r="T124" s="2">
        <f t="shared" si="6"/>
        <v>0</v>
      </c>
      <c r="U124" s="2">
        <f t="shared" si="7"/>
        <v>590782.1091</v>
      </c>
      <c r="V124" s="2">
        <f t="shared" si="8"/>
        <v>-33294.84906</v>
      </c>
    </row>
    <row r="125" ht="15.75" customHeight="1">
      <c r="A125" s="2" t="s">
        <v>52</v>
      </c>
      <c r="B125" s="3">
        <v>45748.0</v>
      </c>
      <c r="C125" s="2" t="s">
        <v>20</v>
      </c>
      <c r="D125" s="2" t="s">
        <v>18</v>
      </c>
      <c r="E125" s="2">
        <v>19063.48</v>
      </c>
      <c r="F125" s="2">
        <v>1906.0</v>
      </c>
      <c r="G125" s="2">
        <v>0.216</v>
      </c>
      <c r="H125" s="2">
        <v>10.0</v>
      </c>
      <c r="I125" s="2">
        <v>97.8</v>
      </c>
      <c r="J125" s="2">
        <v>15.79</v>
      </c>
      <c r="K125" s="2">
        <v>0.0</v>
      </c>
      <c r="L125" s="2">
        <v>4.4</v>
      </c>
      <c r="M125" s="2">
        <v>441275.42</v>
      </c>
      <c r="N125" s="2">
        <v>58234.87</v>
      </c>
      <c r="O125" s="2">
        <f t="shared" si="1"/>
        <v>0</v>
      </c>
      <c r="P125" s="2">
        <f t="shared" si="2"/>
        <v>1</v>
      </c>
      <c r="Q125" s="2">
        <f t="shared" si="3"/>
        <v>0</v>
      </c>
      <c r="R125" s="2">
        <f t="shared" si="4"/>
        <v>0</v>
      </c>
      <c r="S125" s="2">
        <f t="shared" si="5"/>
        <v>1</v>
      </c>
      <c r="T125" s="2">
        <f t="shared" si="6"/>
        <v>0</v>
      </c>
      <c r="U125" s="2">
        <f t="shared" si="7"/>
        <v>504845.6804</v>
      </c>
      <c r="V125" s="2">
        <f t="shared" si="8"/>
        <v>-63570.26044</v>
      </c>
    </row>
    <row r="126" ht="15.75" customHeight="1">
      <c r="A126" s="2" t="s">
        <v>53</v>
      </c>
      <c r="B126" s="3">
        <v>45658.0</v>
      </c>
      <c r="C126" s="2" t="s">
        <v>24</v>
      </c>
      <c r="D126" s="2" t="s">
        <v>18</v>
      </c>
      <c r="E126" s="2">
        <v>61541.21</v>
      </c>
      <c r="F126" s="2">
        <v>10396.0</v>
      </c>
      <c r="G126" s="2">
        <v>0.123</v>
      </c>
      <c r="H126" s="2">
        <v>25.0</v>
      </c>
      <c r="I126" s="2">
        <v>88.1</v>
      </c>
      <c r="J126" s="2">
        <v>2.34</v>
      </c>
      <c r="K126" s="2">
        <v>1.0</v>
      </c>
      <c r="L126" s="2">
        <v>4.8</v>
      </c>
      <c r="M126" s="2">
        <v>914544.17</v>
      </c>
      <c r="N126" s="2">
        <v>79831.73</v>
      </c>
      <c r="O126" s="2">
        <f t="shared" si="1"/>
        <v>0</v>
      </c>
      <c r="P126" s="2">
        <f t="shared" si="2"/>
        <v>0</v>
      </c>
      <c r="Q126" s="2">
        <f t="shared" si="3"/>
        <v>1</v>
      </c>
      <c r="R126" s="2">
        <f t="shared" si="4"/>
        <v>0</v>
      </c>
      <c r="S126" s="2">
        <f t="shared" si="5"/>
        <v>1</v>
      </c>
      <c r="T126" s="2">
        <f t="shared" si="6"/>
        <v>0</v>
      </c>
      <c r="U126" s="2">
        <f t="shared" si="7"/>
        <v>826816.1437</v>
      </c>
      <c r="V126" s="2">
        <f t="shared" si="8"/>
        <v>87728.02635</v>
      </c>
    </row>
    <row r="127" ht="15.75" customHeight="1">
      <c r="A127" s="2" t="s">
        <v>53</v>
      </c>
      <c r="B127" s="3">
        <v>45689.0</v>
      </c>
      <c r="C127" s="2" t="s">
        <v>24</v>
      </c>
      <c r="D127" s="2" t="s">
        <v>18</v>
      </c>
      <c r="E127" s="2">
        <v>44747.0</v>
      </c>
      <c r="F127" s="2">
        <v>11076.0</v>
      </c>
      <c r="G127" s="2">
        <v>0.176</v>
      </c>
      <c r="H127" s="2">
        <v>27.0</v>
      </c>
      <c r="I127" s="2">
        <v>98.3</v>
      </c>
      <c r="J127" s="2">
        <v>0.54</v>
      </c>
      <c r="K127" s="2">
        <v>0.0</v>
      </c>
      <c r="L127" s="2">
        <v>4.4</v>
      </c>
      <c r="M127" s="2">
        <v>842439.67</v>
      </c>
      <c r="N127" s="2">
        <v>169983.63</v>
      </c>
      <c r="O127" s="2">
        <f t="shared" si="1"/>
        <v>0</v>
      </c>
      <c r="P127" s="2">
        <f t="shared" si="2"/>
        <v>0</v>
      </c>
      <c r="Q127" s="2">
        <f t="shared" si="3"/>
        <v>1</v>
      </c>
      <c r="R127" s="2">
        <f t="shared" si="4"/>
        <v>0</v>
      </c>
      <c r="S127" s="2">
        <f t="shared" si="5"/>
        <v>1</v>
      </c>
      <c r="T127" s="2">
        <f t="shared" si="6"/>
        <v>0</v>
      </c>
      <c r="U127" s="2">
        <f t="shared" si="7"/>
        <v>858669.1595</v>
      </c>
      <c r="V127" s="2">
        <f t="shared" si="8"/>
        <v>-16229.48952</v>
      </c>
    </row>
    <row r="128" ht="15.75" customHeight="1">
      <c r="A128" s="2" t="s">
        <v>53</v>
      </c>
      <c r="B128" s="3">
        <v>45717.0</v>
      </c>
      <c r="C128" s="2" t="s">
        <v>24</v>
      </c>
      <c r="D128" s="2" t="s">
        <v>18</v>
      </c>
      <c r="E128" s="2">
        <v>56517.9</v>
      </c>
      <c r="F128" s="2">
        <v>9574.0</v>
      </c>
      <c r="G128" s="2">
        <v>0.204</v>
      </c>
      <c r="H128" s="2">
        <v>20.0</v>
      </c>
      <c r="I128" s="2">
        <v>88.2</v>
      </c>
      <c r="J128" s="2">
        <v>5.37</v>
      </c>
      <c r="K128" s="2">
        <v>1.0</v>
      </c>
      <c r="L128" s="2">
        <v>4.9</v>
      </c>
      <c r="M128" s="2">
        <v>842157.92</v>
      </c>
      <c r="N128" s="2">
        <v>107348.22</v>
      </c>
      <c r="O128" s="2">
        <f t="shared" si="1"/>
        <v>0</v>
      </c>
      <c r="P128" s="2">
        <f t="shared" si="2"/>
        <v>0</v>
      </c>
      <c r="Q128" s="2">
        <f t="shared" si="3"/>
        <v>1</v>
      </c>
      <c r="R128" s="2">
        <f t="shared" si="4"/>
        <v>0</v>
      </c>
      <c r="S128" s="2">
        <f t="shared" si="5"/>
        <v>1</v>
      </c>
      <c r="T128" s="2">
        <f t="shared" si="6"/>
        <v>0</v>
      </c>
      <c r="U128" s="2">
        <f t="shared" si="7"/>
        <v>793301.2393</v>
      </c>
      <c r="V128" s="2">
        <f t="shared" si="8"/>
        <v>48856.68074</v>
      </c>
    </row>
    <row r="129" ht="15.75" customHeight="1">
      <c r="A129" s="2" t="s">
        <v>53</v>
      </c>
      <c r="B129" s="3">
        <v>45748.0</v>
      </c>
      <c r="C129" s="2" t="s">
        <v>24</v>
      </c>
      <c r="D129" s="2" t="s">
        <v>18</v>
      </c>
      <c r="E129" s="2">
        <v>37828.5</v>
      </c>
      <c r="F129" s="2">
        <v>8221.0</v>
      </c>
      <c r="G129" s="2">
        <v>0.096</v>
      </c>
      <c r="H129" s="2">
        <v>19.0</v>
      </c>
      <c r="I129" s="2">
        <v>81.5</v>
      </c>
      <c r="J129" s="2">
        <v>3.19</v>
      </c>
      <c r="K129" s="2">
        <v>0.0</v>
      </c>
      <c r="L129" s="2">
        <v>4.8</v>
      </c>
      <c r="M129" s="2">
        <v>697155.3</v>
      </c>
      <c r="N129" s="2">
        <v>136408.54</v>
      </c>
      <c r="O129" s="2">
        <f t="shared" si="1"/>
        <v>0</v>
      </c>
      <c r="P129" s="2">
        <f t="shared" si="2"/>
        <v>0</v>
      </c>
      <c r="Q129" s="2">
        <f t="shared" si="3"/>
        <v>1</v>
      </c>
      <c r="R129" s="2">
        <f t="shared" si="4"/>
        <v>0</v>
      </c>
      <c r="S129" s="2">
        <f t="shared" si="5"/>
        <v>1</v>
      </c>
      <c r="T129" s="2">
        <f t="shared" si="6"/>
        <v>0</v>
      </c>
      <c r="U129" s="2">
        <f t="shared" si="7"/>
        <v>706430.1101</v>
      </c>
      <c r="V129" s="2">
        <f t="shared" si="8"/>
        <v>-9274.81006</v>
      </c>
    </row>
    <row r="130" ht="15.75" customHeight="1">
      <c r="A130" s="2" t="s">
        <v>54</v>
      </c>
      <c r="B130" s="3">
        <v>45658.0</v>
      </c>
      <c r="C130" s="2" t="s">
        <v>15</v>
      </c>
      <c r="D130" s="2" t="s">
        <v>18</v>
      </c>
      <c r="E130" s="2">
        <v>66250.53</v>
      </c>
      <c r="F130" s="2">
        <v>10618.0</v>
      </c>
      <c r="G130" s="2">
        <v>0.142</v>
      </c>
      <c r="H130" s="2">
        <v>27.0</v>
      </c>
      <c r="I130" s="2">
        <v>88.3</v>
      </c>
      <c r="J130" s="2">
        <v>1.1</v>
      </c>
      <c r="K130" s="2">
        <v>1.0</v>
      </c>
      <c r="L130" s="2">
        <v>4.4</v>
      </c>
      <c r="M130" s="2">
        <v>849018.3</v>
      </c>
      <c r="N130" s="2">
        <v>149035.13</v>
      </c>
      <c r="O130" s="2">
        <f t="shared" si="1"/>
        <v>1</v>
      </c>
      <c r="P130" s="2">
        <f t="shared" si="2"/>
        <v>0</v>
      </c>
      <c r="Q130" s="2">
        <f t="shared" si="3"/>
        <v>0</v>
      </c>
      <c r="R130" s="2">
        <f t="shared" si="4"/>
        <v>0</v>
      </c>
      <c r="S130" s="2">
        <f t="shared" si="5"/>
        <v>1</v>
      </c>
      <c r="T130" s="2">
        <f t="shared" si="6"/>
        <v>0</v>
      </c>
      <c r="U130" s="2">
        <f t="shared" si="7"/>
        <v>818544.8397</v>
      </c>
      <c r="V130" s="2">
        <f t="shared" si="8"/>
        <v>30473.46034</v>
      </c>
    </row>
    <row r="131" ht="15.75" customHeight="1">
      <c r="A131" s="2" t="s">
        <v>54</v>
      </c>
      <c r="B131" s="3">
        <v>45689.0</v>
      </c>
      <c r="C131" s="2" t="s">
        <v>15</v>
      </c>
      <c r="D131" s="2" t="s">
        <v>18</v>
      </c>
      <c r="E131" s="2">
        <v>68410.93</v>
      </c>
      <c r="F131" s="2">
        <v>10596.0</v>
      </c>
      <c r="G131" s="2">
        <v>0.207</v>
      </c>
      <c r="H131" s="2">
        <v>25.0</v>
      </c>
      <c r="I131" s="2">
        <v>81.2</v>
      </c>
      <c r="J131" s="2">
        <v>0.21</v>
      </c>
      <c r="K131" s="2">
        <v>0.0</v>
      </c>
      <c r="L131" s="2">
        <v>4.0</v>
      </c>
      <c r="M131" s="2">
        <v>801830.35</v>
      </c>
      <c r="N131" s="2">
        <v>114875.32</v>
      </c>
      <c r="O131" s="2">
        <f t="shared" si="1"/>
        <v>1</v>
      </c>
      <c r="P131" s="2">
        <f t="shared" si="2"/>
        <v>0</v>
      </c>
      <c r="Q131" s="2">
        <f t="shared" si="3"/>
        <v>0</v>
      </c>
      <c r="R131" s="2">
        <f t="shared" si="4"/>
        <v>0</v>
      </c>
      <c r="S131" s="2">
        <f t="shared" si="5"/>
        <v>1</v>
      </c>
      <c r="T131" s="2">
        <f t="shared" si="6"/>
        <v>0</v>
      </c>
      <c r="U131" s="2">
        <f t="shared" si="7"/>
        <v>800353.9887</v>
      </c>
      <c r="V131" s="2">
        <f t="shared" si="8"/>
        <v>1476.361271</v>
      </c>
    </row>
    <row r="132" ht="15.75" customHeight="1">
      <c r="A132" s="2" t="s">
        <v>54</v>
      </c>
      <c r="B132" s="3">
        <v>45717.0</v>
      </c>
      <c r="C132" s="2" t="s">
        <v>15</v>
      </c>
      <c r="D132" s="2" t="s">
        <v>18</v>
      </c>
      <c r="E132" s="2">
        <v>50735.63</v>
      </c>
      <c r="F132" s="2">
        <v>9619.0</v>
      </c>
      <c r="G132" s="2">
        <v>0.144</v>
      </c>
      <c r="H132" s="2">
        <v>19.0</v>
      </c>
      <c r="I132" s="2">
        <v>93.8</v>
      </c>
      <c r="J132" s="2">
        <v>5.12</v>
      </c>
      <c r="K132" s="2">
        <v>1.0</v>
      </c>
      <c r="L132" s="2">
        <v>4.5</v>
      </c>
      <c r="M132" s="2">
        <v>725235.28</v>
      </c>
      <c r="N132" s="2">
        <v>121632.24</v>
      </c>
      <c r="O132" s="2">
        <f t="shared" si="1"/>
        <v>1</v>
      </c>
      <c r="P132" s="2">
        <f t="shared" si="2"/>
        <v>0</v>
      </c>
      <c r="Q132" s="2">
        <f t="shared" si="3"/>
        <v>0</v>
      </c>
      <c r="R132" s="2">
        <f t="shared" si="4"/>
        <v>0</v>
      </c>
      <c r="S132" s="2">
        <f t="shared" si="5"/>
        <v>1</v>
      </c>
      <c r="T132" s="2">
        <f t="shared" si="6"/>
        <v>0</v>
      </c>
      <c r="U132" s="2">
        <f t="shared" si="7"/>
        <v>781808.4924</v>
      </c>
      <c r="V132" s="2">
        <f t="shared" si="8"/>
        <v>-56573.21238</v>
      </c>
    </row>
    <row r="133" ht="15.75" customHeight="1">
      <c r="A133" s="2" t="s">
        <v>54</v>
      </c>
      <c r="B133" s="3">
        <v>45748.0</v>
      </c>
      <c r="C133" s="2" t="s">
        <v>15</v>
      </c>
      <c r="D133" s="2" t="s">
        <v>18</v>
      </c>
      <c r="E133" s="2">
        <v>66455.8</v>
      </c>
      <c r="F133" s="2">
        <v>10836.0</v>
      </c>
      <c r="G133" s="2">
        <v>0.089</v>
      </c>
      <c r="H133" s="2">
        <v>25.0</v>
      </c>
      <c r="I133" s="2">
        <v>85.0</v>
      </c>
      <c r="J133" s="2">
        <v>9.77</v>
      </c>
      <c r="K133" s="2">
        <v>0.0</v>
      </c>
      <c r="L133" s="2">
        <v>4.5</v>
      </c>
      <c r="M133" s="2">
        <v>811452.72</v>
      </c>
      <c r="N133" s="2">
        <v>131325.67</v>
      </c>
      <c r="O133" s="2">
        <f t="shared" si="1"/>
        <v>1</v>
      </c>
      <c r="P133" s="2">
        <f t="shared" si="2"/>
        <v>0</v>
      </c>
      <c r="Q133" s="2">
        <f t="shared" si="3"/>
        <v>0</v>
      </c>
      <c r="R133" s="2">
        <f t="shared" si="4"/>
        <v>0</v>
      </c>
      <c r="S133" s="2">
        <f t="shared" si="5"/>
        <v>1</v>
      </c>
      <c r="T133" s="2">
        <f t="shared" si="6"/>
        <v>0</v>
      </c>
      <c r="U133" s="2">
        <f t="shared" si="7"/>
        <v>816871.5557</v>
      </c>
      <c r="V133" s="2">
        <f t="shared" si="8"/>
        <v>-5418.835728</v>
      </c>
    </row>
    <row r="134" ht="15.75" customHeight="1">
      <c r="A134" s="2" t="s">
        <v>55</v>
      </c>
      <c r="B134" s="3">
        <v>45658.0</v>
      </c>
      <c r="C134" s="2" t="s">
        <v>20</v>
      </c>
      <c r="D134" s="2" t="s">
        <v>18</v>
      </c>
      <c r="E134" s="2">
        <v>70276.28</v>
      </c>
      <c r="F134" s="2">
        <v>3043.0</v>
      </c>
      <c r="G134" s="2">
        <v>0.079</v>
      </c>
      <c r="H134" s="2">
        <v>9.0</v>
      </c>
      <c r="I134" s="2">
        <v>87.9</v>
      </c>
      <c r="J134" s="2">
        <v>3.77</v>
      </c>
      <c r="K134" s="2">
        <v>0.0</v>
      </c>
      <c r="L134" s="2">
        <v>4.4</v>
      </c>
      <c r="M134" s="2">
        <v>527300.13</v>
      </c>
      <c r="N134" s="2">
        <v>84197.87</v>
      </c>
      <c r="O134" s="2">
        <f t="shared" si="1"/>
        <v>0</v>
      </c>
      <c r="P134" s="2">
        <f t="shared" si="2"/>
        <v>1</v>
      </c>
      <c r="Q134" s="2">
        <f t="shared" si="3"/>
        <v>0</v>
      </c>
      <c r="R134" s="2">
        <f t="shared" si="4"/>
        <v>0</v>
      </c>
      <c r="S134" s="2">
        <f t="shared" si="5"/>
        <v>1</v>
      </c>
      <c r="T134" s="2">
        <f t="shared" si="6"/>
        <v>0</v>
      </c>
      <c r="U134" s="2">
        <f t="shared" si="7"/>
        <v>576199.4738</v>
      </c>
      <c r="V134" s="2">
        <f t="shared" si="8"/>
        <v>-48899.34378</v>
      </c>
    </row>
    <row r="135" ht="15.75" customHeight="1">
      <c r="A135" s="2" t="s">
        <v>55</v>
      </c>
      <c r="B135" s="3">
        <v>45689.0</v>
      </c>
      <c r="C135" s="2" t="s">
        <v>20</v>
      </c>
      <c r="D135" s="2" t="s">
        <v>18</v>
      </c>
      <c r="E135" s="2">
        <v>22071.64</v>
      </c>
      <c r="F135" s="2">
        <v>1814.0</v>
      </c>
      <c r="G135" s="2">
        <v>0.196</v>
      </c>
      <c r="H135" s="2">
        <v>8.0</v>
      </c>
      <c r="I135" s="2">
        <v>81.1</v>
      </c>
      <c r="J135" s="2">
        <v>0.78</v>
      </c>
      <c r="K135" s="2">
        <v>0.0</v>
      </c>
      <c r="L135" s="2"/>
      <c r="M135" s="2">
        <v>400831.65</v>
      </c>
      <c r="N135" s="2">
        <v>70979.31</v>
      </c>
      <c r="O135" s="2">
        <f t="shared" si="1"/>
        <v>0</v>
      </c>
      <c r="P135" s="2">
        <f t="shared" si="2"/>
        <v>1</v>
      </c>
      <c r="Q135" s="2">
        <f t="shared" si="3"/>
        <v>0</v>
      </c>
      <c r="R135" s="2">
        <f t="shared" si="4"/>
        <v>0</v>
      </c>
      <c r="S135" s="2">
        <f t="shared" si="5"/>
        <v>1</v>
      </c>
      <c r="T135" s="2">
        <f t="shared" si="6"/>
        <v>0</v>
      </c>
      <c r="U135" s="2">
        <f t="shared" si="7"/>
        <v>458236.1855</v>
      </c>
      <c r="V135" s="2">
        <f t="shared" si="8"/>
        <v>-57404.5355</v>
      </c>
    </row>
    <row r="136" ht="15.75" customHeight="1">
      <c r="A136" s="2" t="s">
        <v>55</v>
      </c>
      <c r="B136" s="3">
        <v>45717.0</v>
      </c>
      <c r="C136" s="2" t="s">
        <v>20</v>
      </c>
      <c r="D136" s="2" t="s">
        <v>18</v>
      </c>
      <c r="E136" s="2">
        <v>52285.45</v>
      </c>
      <c r="F136" s="2">
        <v>3618.0</v>
      </c>
      <c r="G136" s="2">
        <v>0.086</v>
      </c>
      <c r="H136" s="2">
        <v>11.0</v>
      </c>
      <c r="I136" s="2">
        <v>95.6</v>
      </c>
      <c r="J136" s="2">
        <v>5.17</v>
      </c>
      <c r="K136" s="2">
        <v>1.0</v>
      </c>
      <c r="L136" s="2">
        <v>4.4</v>
      </c>
      <c r="M136" s="2">
        <v>593247.25</v>
      </c>
      <c r="N136" s="2">
        <v>81240.29</v>
      </c>
      <c r="O136" s="2">
        <f t="shared" si="1"/>
        <v>0</v>
      </c>
      <c r="P136" s="2">
        <f t="shared" si="2"/>
        <v>1</v>
      </c>
      <c r="Q136" s="2">
        <f t="shared" si="3"/>
        <v>0</v>
      </c>
      <c r="R136" s="2">
        <f t="shared" si="4"/>
        <v>0</v>
      </c>
      <c r="S136" s="2">
        <f t="shared" si="5"/>
        <v>1</v>
      </c>
      <c r="T136" s="2">
        <f t="shared" si="6"/>
        <v>0</v>
      </c>
      <c r="U136" s="2">
        <f t="shared" si="7"/>
        <v>596031.9244</v>
      </c>
      <c r="V136" s="2">
        <f t="shared" si="8"/>
        <v>-2784.674372</v>
      </c>
    </row>
    <row r="137" ht="15.75" customHeight="1">
      <c r="A137" s="2" t="s">
        <v>55</v>
      </c>
      <c r="B137" s="3">
        <v>45748.0</v>
      </c>
      <c r="C137" s="2" t="s">
        <v>20</v>
      </c>
      <c r="D137" s="2" t="s">
        <v>18</v>
      </c>
      <c r="E137" s="2">
        <v>70366.76</v>
      </c>
      <c r="F137" s="2">
        <v>1963.0</v>
      </c>
      <c r="G137" s="2">
        <v>0.182</v>
      </c>
      <c r="H137" s="2">
        <v>8.0</v>
      </c>
      <c r="I137" s="2">
        <v>89.8</v>
      </c>
      <c r="J137" s="2">
        <v>3.2</v>
      </c>
      <c r="K137" s="2">
        <v>0.0</v>
      </c>
      <c r="L137" s="2">
        <v>4.6</v>
      </c>
      <c r="M137" s="2">
        <v>529075.95</v>
      </c>
      <c r="N137" s="2">
        <v>95978.83</v>
      </c>
      <c r="O137" s="2">
        <f t="shared" si="1"/>
        <v>0</v>
      </c>
      <c r="P137" s="2">
        <f t="shared" si="2"/>
        <v>1</v>
      </c>
      <c r="Q137" s="2">
        <f t="shared" si="3"/>
        <v>0</v>
      </c>
      <c r="R137" s="2">
        <f t="shared" si="4"/>
        <v>0</v>
      </c>
      <c r="S137" s="2">
        <f t="shared" si="5"/>
        <v>1</v>
      </c>
      <c r="T137" s="2">
        <f t="shared" si="6"/>
        <v>0</v>
      </c>
      <c r="U137" s="2">
        <f t="shared" si="7"/>
        <v>545085.3295</v>
      </c>
      <c r="V137" s="2">
        <f t="shared" si="8"/>
        <v>-16009.37954</v>
      </c>
    </row>
    <row r="138" ht="15.75" customHeight="1">
      <c r="A138" s="2" t="s">
        <v>56</v>
      </c>
      <c r="B138" s="3">
        <v>45658.0</v>
      </c>
      <c r="C138" s="2" t="s">
        <v>24</v>
      </c>
      <c r="D138" s="2" t="s">
        <v>16</v>
      </c>
      <c r="E138" s="2">
        <v>71320.66</v>
      </c>
      <c r="F138" s="2">
        <v>7888.0</v>
      </c>
      <c r="G138" s="2">
        <v>0.048</v>
      </c>
      <c r="H138" s="2">
        <v>20.0</v>
      </c>
      <c r="I138" s="2">
        <v>78.1</v>
      </c>
      <c r="J138" s="2">
        <v>3.4</v>
      </c>
      <c r="K138" s="2">
        <v>0.0</v>
      </c>
      <c r="L138" s="2"/>
      <c r="M138" s="2">
        <v>633638.03</v>
      </c>
      <c r="N138" s="2">
        <v>99402.01</v>
      </c>
      <c r="O138" s="2">
        <f t="shared" si="1"/>
        <v>0</v>
      </c>
      <c r="P138" s="2">
        <f t="shared" si="2"/>
        <v>0</v>
      </c>
      <c r="Q138" s="2">
        <f t="shared" si="3"/>
        <v>1</v>
      </c>
      <c r="R138" s="2">
        <f t="shared" si="4"/>
        <v>0</v>
      </c>
      <c r="S138" s="2">
        <f t="shared" si="5"/>
        <v>0</v>
      </c>
      <c r="T138" s="2">
        <f t="shared" si="6"/>
        <v>0</v>
      </c>
      <c r="U138" s="2">
        <f t="shared" si="7"/>
        <v>725298.1541</v>
      </c>
      <c r="V138" s="2">
        <f t="shared" si="8"/>
        <v>-91660.12407</v>
      </c>
    </row>
    <row r="139" ht="15.75" customHeight="1">
      <c r="A139" s="2" t="s">
        <v>56</v>
      </c>
      <c r="B139" s="3">
        <v>45689.0</v>
      </c>
      <c r="C139" s="2" t="s">
        <v>24</v>
      </c>
      <c r="D139" s="2" t="s">
        <v>16</v>
      </c>
      <c r="E139" s="2">
        <v>75109.67</v>
      </c>
      <c r="F139" s="2">
        <v>6244.0</v>
      </c>
      <c r="G139" s="2">
        <v>0.079</v>
      </c>
      <c r="H139" s="2">
        <v>15.0</v>
      </c>
      <c r="I139" s="2">
        <v>96.3</v>
      </c>
      <c r="J139" s="2">
        <v>7.38</v>
      </c>
      <c r="K139" s="2">
        <v>0.0</v>
      </c>
      <c r="L139" s="2">
        <v>3.7</v>
      </c>
      <c r="M139" s="2">
        <v>743348.84</v>
      </c>
      <c r="N139" s="2">
        <v>104186.09</v>
      </c>
      <c r="O139" s="2">
        <f t="shared" si="1"/>
        <v>0</v>
      </c>
      <c r="P139" s="2">
        <f t="shared" si="2"/>
        <v>0</v>
      </c>
      <c r="Q139" s="2">
        <f t="shared" si="3"/>
        <v>1</v>
      </c>
      <c r="R139" s="2">
        <f t="shared" si="4"/>
        <v>0</v>
      </c>
      <c r="S139" s="2">
        <f t="shared" si="5"/>
        <v>0</v>
      </c>
      <c r="T139" s="2">
        <f t="shared" si="6"/>
        <v>0</v>
      </c>
      <c r="U139" s="2">
        <f t="shared" si="7"/>
        <v>725405.0562</v>
      </c>
      <c r="V139" s="2">
        <f t="shared" si="8"/>
        <v>17943.78383</v>
      </c>
    </row>
    <row r="140" ht="15.75" customHeight="1">
      <c r="A140" s="2" t="s">
        <v>56</v>
      </c>
      <c r="B140" s="3">
        <v>45717.0</v>
      </c>
      <c r="C140" s="2" t="s">
        <v>24</v>
      </c>
      <c r="D140" s="2" t="s">
        <v>16</v>
      </c>
      <c r="E140" s="2">
        <v>69779.0</v>
      </c>
      <c r="F140" s="2">
        <v>6544.0</v>
      </c>
      <c r="G140" s="2">
        <v>0.152</v>
      </c>
      <c r="H140" s="2">
        <v>18.0</v>
      </c>
      <c r="I140" s="2">
        <v>90.2</v>
      </c>
      <c r="J140" s="2">
        <v>0.85</v>
      </c>
      <c r="K140" s="2">
        <v>1.0</v>
      </c>
      <c r="L140" s="2">
        <v>3.3</v>
      </c>
      <c r="M140" s="2">
        <v>758827.64</v>
      </c>
      <c r="N140" s="2">
        <v>161439.48</v>
      </c>
      <c r="O140" s="2">
        <f t="shared" si="1"/>
        <v>0</v>
      </c>
      <c r="P140" s="2">
        <f t="shared" si="2"/>
        <v>0</v>
      </c>
      <c r="Q140" s="2">
        <f t="shared" si="3"/>
        <v>1</v>
      </c>
      <c r="R140" s="2">
        <f t="shared" si="4"/>
        <v>0</v>
      </c>
      <c r="S140" s="2">
        <f t="shared" si="5"/>
        <v>0</v>
      </c>
      <c r="T140" s="2">
        <f t="shared" si="6"/>
        <v>0</v>
      </c>
      <c r="U140" s="2">
        <f t="shared" si="7"/>
        <v>712051.6906</v>
      </c>
      <c r="V140" s="2">
        <f t="shared" si="8"/>
        <v>46775.94936</v>
      </c>
    </row>
    <row r="141" ht="15.75" customHeight="1">
      <c r="A141" s="2" t="s">
        <v>56</v>
      </c>
      <c r="B141" s="3">
        <v>45748.0</v>
      </c>
      <c r="C141" s="2" t="s">
        <v>24</v>
      </c>
      <c r="D141" s="2" t="s">
        <v>16</v>
      </c>
      <c r="E141" s="2">
        <v>44211.95</v>
      </c>
      <c r="F141" s="2">
        <v>5465.0</v>
      </c>
      <c r="G141" s="2">
        <v>0.187</v>
      </c>
      <c r="H141" s="2">
        <v>12.0</v>
      </c>
      <c r="I141" s="2">
        <v>90.0</v>
      </c>
      <c r="J141" s="2">
        <v>2.89</v>
      </c>
      <c r="K141" s="2">
        <v>0.0</v>
      </c>
      <c r="L141" s="2">
        <v>3.6</v>
      </c>
      <c r="M141" s="2">
        <v>646559.71</v>
      </c>
      <c r="N141" s="2">
        <v>97981.75</v>
      </c>
      <c r="O141" s="2">
        <f t="shared" si="1"/>
        <v>0</v>
      </c>
      <c r="P141" s="2">
        <f t="shared" si="2"/>
        <v>0</v>
      </c>
      <c r="Q141" s="2">
        <f t="shared" si="3"/>
        <v>1</v>
      </c>
      <c r="R141" s="2">
        <f t="shared" si="4"/>
        <v>0</v>
      </c>
      <c r="S141" s="2">
        <f t="shared" si="5"/>
        <v>0</v>
      </c>
      <c r="T141" s="2">
        <f t="shared" si="6"/>
        <v>0</v>
      </c>
      <c r="U141" s="2">
        <f t="shared" si="7"/>
        <v>644619.5091</v>
      </c>
      <c r="V141" s="2">
        <f t="shared" si="8"/>
        <v>1940.200888</v>
      </c>
    </row>
    <row r="142" ht="15.75" customHeight="1">
      <c r="A142" s="2" t="s">
        <v>57</v>
      </c>
      <c r="B142" s="3">
        <v>45658.0</v>
      </c>
      <c r="C142" s="2" t="s">
        <v>27</v>
      </c>
      <c r="D142" s="2" t="s">
        <v>18</v>
      </c>
      <c r="E142" s="2">
        <v>51430.31</v>
      </c>
      <c r="F142" s="2">
        <v>6427.0</v>
      </c>
      <c r="G142" s="2">
        <v>0.234</v>
      </c>
      <c r="H142" s="2">
        <v>14.0</v>
      </c>
      <c r="I142" s="2">
        <v>88.8</v>
      </c>
      <c r="J142" s="2">
        <v>0.77</v>
      </c>
      <c r="K142" s="2">
        <v>0.0</v>
      </c>
      <c r="L142" s="2">
        <v>4.1</v>
      </c>
      <c r="M142" s="2">
        <v>715890.53</v>
      </c>
      <c r="N142" s="2">
        <v>109032.15</v>
      </c>
      <c r="O142" s="2">
        <f t="shared" si="1"/>
        <v>0</v>
      </c>
      <c r="P142" s="2">
        <f t="shared" si="2"/>
        <v>0</v>
      </c>
      <c r="Q142" s="2">
        <f t="shared" si="3"/>
        <v>0</v>
      </c>
      <c r="R142" s="2">
        <f t="shared" si="4"/>
        <v>0</v>
      </c>
      <c r="S142" s="2">
        <f t="shared" si="5"/>
        <v>1</v>
      </c>
      <c r="T142" s="2">
        <f t="shared" si="6"/>
        <v>0</v>
      </c>
      <c r="U142" s="2">
        <f t="shared" si="7"/>
        <v>677930.116</v>
      </c>
      <c r="V142" s="2">
        <f t="shared" si="8"/>
        <v>37960.41399</v>
      </c>
    </row>
    <row r="143" ht="15.75" customHeight="1">
      <c r="A143" s="2" t="s">
        <v>57</v>
      </c>
      <c r="B143" s="3">
        <v>45689.0</v>
      </c>
      <c r="C143" s="2" t="s">
        <v>27</v>
      </c>
      <c r="D143" s="2" t="s">
        <v>18</v>
      </c>
      <c r="E143" s="2">
        <v>45706.49</v>
      </c>
      <c r="F143" s="2">
        <v>6704.0</v>
      </c>
      <c r="G143" s="2">
        <v>0.038</v>
      </c>
      <c r="H143" s="2">
        <v>15.0</v>
      </c>
      <c r="I143" s="2">
        <v>94.2</v>
      </c>
      <c r="J143" s="2">
        <v>2.92</v>
      </c>
      <c r="K143" s="2">
        <v>0.0</v>
      </c>
      <c r="L143" s="2">
        <v>4.2</v>
      </c>
      <c r="M143" s="2">
        <v>715097.57</v>
      </c>
      <c r="N143" s="2">
        <v>151875.86</v>
      </c>
      <c r="O143" s="2">
        <f t="shared" si="1"/>
        <v>0</v>
      </c>
      <c r="P143" s="2">
        <f t="shared" si="2"/>
        <v>0</v>
      </c>
      <c r="Q143" s="2">
        <f t="shared" si="3"/>
        <v>0</v>
      </c>
      <c r="R143" s="2">
        <f t="shared" si="4"/>
        <v>0</v>
      </c>
      <c r="S143" s="2">
        <f t="shared" si="5"/>
        <v>1</v>
      </c>
      <c r="T143" s="2">
        <f t="shared" si="6"/>
        <v>0</v>
      </c>
      <c r="U143" s="2">
        <f t="shared" si="7"/>
        <v>695739.4022</v>
      </c>
      <c r="V143" s="2">
        <f t="shared" si="8"/>
        <v>19358.16782</v>
      </c>
    </row>
    <row r="144" ht="15.75" customHeight="1">
      <c r="A144" s="2" t="s">
        <v>57</v>
      </c>
      <c r="B144" s="3">
        <v>45717.0</v>
      </c>
      <c r="C144" s="2" t="s">
        <v>27</v>
      </c>
      <c r="D144" s="2" t="s">
        <v>18</v>
      </c>
      <c r="E144" s="2">
        <v>44034.6</v>
      </c>
      <c r="F144" s="2">
        <v>5645.0</v>
      </c>
      <c r="G144" s="2">
        <v>0.069</v>
      </c>
      <c r="H144" s="2">
        <v>18.0</v>
      </c>
      <c r="I144" s="2">
        <v>88.5</v>
      </c>
      <c r="J144" s="2">
        <v>3.07</v>
      </c>
      <c r="K144" s="2">
        <v>0.0</v>
      </c>
      <c r="L144" s="2">
        <v>3.8</v>
      </c>
      <c r="M144" s="2">
        <v>682639.28</v>
      </c>
      <c r="N144" s="2">
        <v>77557.53</v>
      </c>
      <c r="O144" s="2">
        <f t="shared" si="1"/>
        <v>0</v>
      </c>
      <c r="P144" s="2">
        <f t="shared" si="2"/>
        <v>0</v>
      </c>
      <c r="Q144" s="2">
        <f t="shared" si="3"/>
        <v>0</v>
      </c>
      <c r="R144" s="2">
        <f t="shared" si="4"/>
        <v>0</v>
      </c>
      <c r="S144" s="2">
        <f t="shared" si="5"/>
        <v>1</v>
      </c>
      <c r="T144" s="2">
        <f t="shared" si="6"/>
        <v>0</v>
      </c>
      <c r="U144" s="2">
        <f t="shared" si="7"/>
        <v>641828.5936</v>
      </c>
      <c r="V144" s="2">
        <f t="shared" si="8"/>
        <v>40810.68636</v>
      </c>
    </row>
    <row r="145" ht="15.75" customHeight="1">
      <c r="A145" s="2" t="s">
        <v>57</v>
      </c>
      <c r="B145" s="3">
        <v>45748.0</v>
      </c>
      <c r="C145" s="2" t="s">
        <v>27</v>
      </c>
      <c r="D145" s="2" t="s">
        <v>18</v>
      </c>
      <c r="E145" s="2">
        <v>50198.12</v>
      </c>
      <c r="F145" s="2">
        <v>6089.0</v>
      </c>
      <c r="G145" s="2">
        <v>0.182</v>
      </c>
      <c r="H145" s="2">
        <v>19.0</v>
      </c>
      <c r="I145" s="2">
        <v>94.0</v>
      </c>
      <c r="J145" s="2">
        <v>9.7</v>
      </c>
      <c r="K145" s="2">
        <v>0.0</v>
      </c>
      <c r="L145" s="2">
        <v>3.9</v>
      </c>
      <c r="M145" s="2">
        <v>695098.51</v>
      </c>
      <c r="N145" s="2">
        <v>108192.75</v>
      </c>
      <c r="O145" s="2">
        <f t="shared" si="1"/>
        <v>0</v>
      </c>
      <c r="P145" s="2">
        <f t="shared" si="2"/>
        <v>0</v>
      </c>
      <c r="Q145" s="2">
        <f t="shared" si="3"/>
        <v>0</v>
      </c>
      <c r="R145" s="2">
        <f t="shared" si="4"/>
        <v>0</v>
      </c>
      <c r="S145" s="2">
        <f t="shared" si="5"/>
        <v>1</v>
      </c>
      <c r="T145" s="2">
        <f t="shared" si="6"/>
        <v>0</v>
      </c>
      <c r="U145" s="2">
        <f t="shared" si="7"/>
        <v>679675.6805</v>
      </c>
      <c r="V145" s="2">
        <f t="shared" si="8"/>
        <v>15422.82948</v>
      </c>
    </row>
    <row r="146" ht="15.75" customHeight="1">
      <c r="A146" s="2" t="s">
        <v>58</v>
      </c>
      <c r="B146" s="3">
        <v>45658.0</v>
      </c>
      <c r="C146" s="2" t="s">
        <v>20</v>
      </c>
      <c r="D146" s="2" t="s">
        <v>16</v>
      </c>
      <c r="E146" s="2">
        <v>70488.2</v>
      </c>
      <c r="F146" s="2">
        <v>4312.0</v>
      </c>
      <c r="G146" s="2">
        <v>0.169</v>
      </c>
      <c r="H146" s="2">
        <v>12.0</v>
      </c>
      <c r="I146" s="2">
        <v>90.2</v>
      </c>
      <c r="J146" s="2">
        <v>3.71</v>
      </c>
      <c r="K146" s="2">
        <v>0.0</v>
      </c>
      <c r="L146" s="2">
        <v>3.2</v>
      </c>
      <c r="M146" s="2">
        <v>577732.57</v>
      </c>
      <c r="N146" s="2">
        <v>93804.27</v>
      </c>
      <c r="O146" s="2">
        <f t="shared" si="1"/>
        <v>0</v>
      </c>
      <c r="P146" s="2">
        <f t="shared" si="2"/>
        <v>1</v>
      </c>
      <c r="Q146" s="2">
        <f t="shared" si="3"/>
        <v>0</v>
      </c>
      <c r="R146" s="2">
        <f t="shared" si="4"/>
        <v>0</v>
      </c>
      <c r="S146" s="2">
        <f t="shared" si="5"/>
        <v>0</v>
      </c>
      <c r="T146" s="2">
        <f t="shared" si="6"/>
        <v>0</v>
      </c>
      <c r="U146" s="2">
        <f t="shared" si="7"/>
        <v>625909.0173</v>
      </c>
      <c r="V146" s="2">
        <f t="shared" si="8"/>
        <v>-48176.44731</v>
      </c>
    </row>
    <row r="147" ht="15.75" customHeight="1">
      <c r="A147" s="2" t="s">
        <v>58</v>
      </c>
      <c r="B147" s="3">
        <v>45689.0</v>
      </c>
      <c r="C147" s="2" t="s">
        <v>20</v>
      </c>
      <c r="D147" s="2" t="s">
        <v>16</v>
      </c>
      <c r="E147" s="2">
        <v>50909.27</v>
      </c>
      <c r="F147" s="2">
        <v>3152.0</v>
      </c>
      <c r="G147" s="2">
        <v>0.06</v>
      </c>
      <c r="H147" s="2">
        <v>13.0</v>
      </c>
      <c r="I147" s="2">
        <v>93.7</v>
      </c>
      <c r="J147" s="2">
        <v>10.79</v>
      </c>
      <c r="K147" s="2">
        <v>0.0</v>
      </c>
      <c r="L147" s="2">
        <v>3.5</v>
      </c>
      <c r="M147" s="2">
        <v>537058.33</v>
      </c>
      <c r="N147" s="2">
        <v>93555.71</v>
      </c>
      <c r="O147" s="2">
        <f t="shared" si="1"/>
        <v>0</v>
      </c>
      <c r="P147" s="2">
        <f t="shared" si="2"/>
        <v>1</v>
      </c>
      <c r="Q147" s="2">
        <f t="shared" si="3"/>
        <v>0</v>
      </c>
      <c r="R147" s="2">
        <f t="shared" si="4"/>
        <v>0</v>
      </c>
      <c r="S147" s="2">
        <f t="shared" si="5"/>
        <v>0</v>
      </c>
      <c r="T147" s="2">
        <f t="shared" si="6"/>
        <v>0</v>
      </c>
      <c r="U147" s="2">
        <f t="shared" si="7"/>
        <v>573263.4137</v>
      </c>
      <c r="V147" s="2">
        <f t="shared" si="8"/>
        <v>-36205.0837</v>
      </c>
    </row>
    <row r="148" ht="15.75" customHeight="1">
      <c r="A148" s="2" t="s">
        <v>58</v>
      </c>
      <c r="B148" s="3">
        <v>45717.0</v>
      </c>
      <c r="C148" s="2" t="s">
        <v>20</v>
      </c>
      <c r="D148" s="2" t="s">
        <v>16</v>
      </c>
      <c r="E148" s="2">
        <v>53351.7</v>
      </c>
      <c r="F148" s="2">
        <v>4259.0</v>
      </c>
      <c r="G148" s="2">
        <v>0.156</v>
      </c>
      <c r="H148" s="2">
        <v>15.0</v>
      </c>
      <c r="I148" s="2">
        <v>93.7</v>
      </c>
      <c r="J148" s="2">
        <v>6.03</v>
      </c>
      <c r="K148" s="2">
        <v>0.0</v>
      </c>
      <c r="L148" s="2">
        <v>3.4</v>
      </c>
      <c r="M148" s="2">
        <v>601568.87</v>
      </c>
      <c r="N148" s="2">
        <v>91634.82</v>
      </c>
      <c r="O148" s="2">
        <f t="shared" si="1"/>
        <v>0</v>
      </c>
      <c r="P148" s="2">
        <f t="shared" si="2"/>
        <v>1</v>
      </c>
      <c r="Q148" s="2">
        <f t="shared" si="3"/>
        <v>0</v>
      </c>
      <c r="R148" s="2">
        <f t="shared" si="4"/>
        <v>0</v>
      </c>
      <c r="S148" s="2">
        <f t="shared" si="5"/>
        <v>0</v>
      </c>
      <c r="T148" s="2">
        <f t="shared" si="6"/>
        <v>0</v>
      </c>
      <c r="U148" s="2">
        <f t="shared" si="7"/>
        <v>613650.742</v>
      </c>
      <c r="V148" s="2">
        <f t="shared" si="8"/>
        <v>-12081.87197</v>
      </c>
    </row>
    <row r="149" ht="15.75" customHeight="1">
      <c r="A149" s="2" t="s">
        <v>58</v>
      </c>
      <c r="B149" s="3">
        <v>45748.0</v>
      </c>
      <c r="C149" s="2" t="s">
        <v>20</v>
      </c>
      <c r="D149" s="2" t="s">
        <v>16</v>
      </c>
      <c r="E149" s="2">
        <v>60322.4</v>
      </c>
      <c r="F149" s="2">
        <v>3350.0</v>
      </c>
      <c r="G149" s="2">
        <v>0.108</v>
      </c>
      <c r="H149" s="2">
        <v>12.0</v>
      </c>
      <c r="I149" s="2">
        <v>89.4</v>
      </c>
      <c r="J149" s="2">
        <v>4.92</v>
      </c>
      <c r="K149" s="2">
        <v>0.0</v>
      </c>
      <c r="L149" s="2">
        <v>3.4</v>
      </c>
      <c r="M149" s="2">
        <v>570964.84</v>
      </c>
      <c r="N149" s="2">
        <v>81331.07</v>
      </c>
      <c r="O149" s="2">
        <f t="shared" si="1"/>
        <v>0</v>
      </c>
      <c r="P149" s="2">
        <f t="shared" si="2"/>
        <v>1</v>
      </c>
      <c r="Q149" s="2">
        <f t="shared" si="3"/>
        <v>0</v>
      </c>
      <c r="R149" s="2">
        <f t="shared" si="4"/>
        <v>0</v>
      </c>
      <c r="S149" s="2">
        <f t="shared" si="5"/>
        <v>0</v>
      </c>
      <c r="T149" s="2">
        <f t="shared" si="6"/>
        <v>0</v>
      </c>
      <c r="U149" s="2">
        <f t="shared" si="7"/>
        <v>579016.715</v>
      </c>
      <c r="V149" s="2">
        <f t="shared" si="8"/>
        <v>-8051.874984</v>
      </c>
    </row>
    <row r="150" ht="15.75" customHeight="1">
      <c r="A150" s="2" t="s">
        <v>59</v>
      </c>
      <c r="B150" s="3">
        <v>45658.0</v>
      </c>
      <c r="C150" s="2" t="s">
        <v>24</v>
      </c>
      <c r="D150" s="2" t="s">
        <v>28</v>
      </c>
      <c r="E150" s="2">
        <v>51575.68</v>
      </c>
      <c r="F150" s="2">
        <v>5329.0</v>
      </c>
      <c r="G150" s="2">
        <v>0.047</v>
      </c>
      <c r="H150" s="2">
        <v>17.0</v>
      </c>
      <c r="I150" s="2">
        <v>88.1</v>
      </c>
      <c r="J150" s="2">
        <v>19.78</v>
      </c>
      <c r="K150" s="2">
        <v>0.0</v>
      </c>
      <c r="L150" s="2">
        <v>3.8</v>
      </c>
      <c r="M150" s="2">
        <v>614024.91</v>
      </c>
      <c r="N150" s="2">
        <v>84828.93</v>
      </c>
      <c r="O150" s="2">
        <f t="shared" si="1"/>
        <v>0</v>
      </c>
      <c r="P150" s="2">
        <f t="shared" si="2"/>
        <v>0</v>
      </c>
      <c r="Q150" s="2">
        <f t="shared" si="3"/>
        <v>1</v>
      </c>
      <c r="R150" s="2">
        <f t="shared" si="4"/>
        <v>0</v>
      </c>
      <c r="S150" s="2">
        <f t="shared" si="5"/>
        <v>0</v>
      </c>
      <c r="T150" s="2">
        <f t="shared" si="6"/>
        <v>1</v>
      </c>
      <c r="U150" s="2">
        <f t="shared" si="7"/>
        <v>643393.8751</v>
      </c>
      <c r="V150" s="2">
        <f t="shared" si="8"/>
        <v>-29368.96509</v>
      </c>
    </row>
    <row r="151" ht="15.75" customHeight="1">
      <c r="A151" s="2" t="s">
        <v>59</v>
      </c>
      <c r="B151" s="3">
        <v>45689.0</v>
      </c>
      <c r="C151" s="2" t="s">
        <v>24</v>
      </c>
      <c r="D151" s="2" t="s">
        <v>28</v>
      </c>
      <c r="E151" s="2">
        <v>43319.94</v>
      </c>
      <c r="F151" s="2">
        <v>6551.0</v>
      </c>
      <c r="G151" s="2">
        <v>0.044</v>
      </c>
      <c r="H151" s="2">
        <v>13.0</v>
      </c>
      <c r="I151" s="2">
        <v>99.0</v>
      </c>
      <c r="J151" s="2">
        <v>5.45</v>
      </c>
      <c r="K151" s="2">
        <v>0.0</v>
      </c>
      <c r="L151" s="2">
        <v>4.1</v>
      </c>
      <c r="M151" s="2">
        <v>712868.35</v>
      </c>
      <c r="N151" s="2">
        <v>133650.51</v>
      </c>
      <c r="O151" s="2">
        <f t="shared" si="1"/>
        <v>0</v>
      </c>
      <c r="P151" s="2">
        <f t="shared" si="2"/>
        <v>0</v>
      </c>
      <c r="Q151" s="2">
        <f t="shared" si="3"/>
        <v>1</v>
      </c>
      <c r="R151" s="2">
        <f t="shared" si="4"/>
        <v>0</v>
      </c>
      <c r="S151" s="2">
        <f t="shared" si="5"/>
        <v>0</v>
      </c>
      <c r="T151" s="2">
        <f t="shared" si="6"/>
        <v>1</v>
      </c>
      <c r="U151" s="2">
        <f t="shared" si="7"/>
        <v>705703.1815</v>
      </c>
      <c r="V151" s="2">
        <f t="shared" si="8"/>
        <v>7165.16847</v>
      </c>
    </row>
    <row r="152" ht="15.75" customHeight="1">
      <c r="A152" s="2" t="s">
        <v>59</v>
      </c>
      <c r="B152" s="3">
        <v>45717.0</v>
      </c>
      <c r="C152" s="2" t="s">
        <v>24</v>
      </c>
      <c r="D152" s="2" t="s">
        <v>28</v>
      </c>
      <c r="E152" s="2">
        <v>47093.55</v>
      </c>
      <c r="F152" s="2">
        <v>5550.0</v>
      </c>
      <c r="G152" s="2">
        <v>0.1</v>
      </c>
      <c r="H152" s="2">
        <v>12.0</v>
      </c>
      <c r="I152" s="2">
        <v>95.0</v>
      </c>
      <c r="J152" s="2">
        <v>2.33</v>
      </c>
      <c r="K152" s="2">
        <v>1.0</v>
      </c>
      <c r="L152" s="2">
        <v>3.7</v>
      </c>
      <c r="M152" s="2">
        <v>696744.15</v>
      </c>
      <c r="N152" s="2">
        <v>152230.09</v>
      </c>
      <c r="O152" s="2">
        <f t="shared" si="1"/>
        <v>0</v>
      </c>
      <c r="P152" s="2">
        <f t="shared" si="2"/>
        <v>0</v>
      </c>
      <c r="Q152" s="2">
        <f t="shared" si="3"/>
        <v>1</v>
      </c>
      <c r="R152" s="2">
        <f t="shared" si="4"/>
        <v>0</v>
      </c>
      <c r="S152" s="2">
        <f t="shared" si="5"/>
        <v>0</v>
      </c>
      <c r="T152" s="2">
        <f t="shared" si="6"/>
        <v>1</v>
      </c>
      <c r="U152" s="2">
        <f t="shared" si="7"/>
        <v>665006.6003</v>
      </c>
      <c r="V152" s="2">
        <f t="shared" si="8"/>
        <v>31737.54973</v>
      </c>
    </row>
    <row r="153" ht="15.75" customHeight="1">
      <c r="A153" s="2" t="s">
        <v>59</v>
      </c>
      <c r="B153" s="3">
        <v>45748.0</v>
      </c>
      <c r="C153" s="2" t="s">
        <v>24</v>
      </c>
      <c r="D153" s="2" t="s">
        <v>28</v>
      </c>
      <c r="E153" s="2">
        <v>71855.09</v>
      </c>
      <c r="F153" s="2">
        <v>5911.0</v>
      </c>
      <c r="G153" s="2">
        <v>0.197</v>
      </c>
      <c r="H153" s="2">
        <v>15.0</v>
      </c>
      <c r="I153" s="2">
        <v>94.3</v>
      </c>
      <c r="J153" s="2">
        <v>3.55</v>
      </c>
      <c r="K153" s="2">
        <v>0.0</v>
      </c>
      <c r="L153" s="2">
        <v>4.1</v>
      </c>
      <c r="M153" s="2">
        <v>725847.99</v>
      </c>
      <c r="N153" s="2">
        <v>122698.73</v>
      </c>
      <c r="O153" s="2">
        <f t="shared" si="1"/>
        <v>0</v>
      </c>
      <c r="P153" s="2">
        <f t="shared" si="2"/>
        <v>0</v>
      </c>
      <c r="Q153" s="2">
        <f t="shared" si="3"/>
        <v>1</v>
      </c>
      <c r="R153" s="2">
        <f t="shared" si="4"/>
        <v>0</v>
      </c>
      <c r="S153" s="2">
        <f t="shared" si="5"/>
        <v>0</v>
      </c>
      <c r="T153" s="2">
        <f t="shared" si="6"/>
        <v>1</v>
      </c>
      <c r="U153" s="2">
        <f t="shared" si="7"/>
        <v>704630.8991</v>
      </c>
      <c r="V153" s="2">
        <f t="shared" si="8"/>
        <v>21217.09095</v>
      </c>
    </row>
    <row r="154" ht="15.75" customHeight="1">
      <c r="A154" s="2" t="s">
        <v>60</v>
      </c>
      <c r="B154" s="3">
        <v>45658.0</v>
      </c>
      <c r="C154" s="2" t="s">
        <v>15</v>
      </c>
      <c r="D154" s="2" t="s">
        <v>18</v>
      </c>
      <c r="E154" s="2">
        <v>75645.23</v>
      </c>
      <c r="F154" s="2">
        <v>9674.0</v>
      </c>
      <c r="G154" s="2">
        <v>0.234</v>
      </c>
      <c r="H154" s="2">
        <v>21.0</v>
      </c>
      <c r="I154" s="2">
        <v>87.4</v>
      </c>
      <c r="J154" s="2">
        <v>0.2</v>
      </c>
      <c r="K154" s="2">
        <v>0.0</v>
      </c>
      <c r="L154" s="2">
        <v>4.5</v>
      </c>
      <c r="M154" s="2">
        <v>785028.25</v>
      </c>
      <c r="N154" s="2">
        <v>110726.44</v>
      </c>
      <c r="O154" s="2">
        <f t="shared" si="1"/>
        <v>1</v>
      </c>
      <c r="P154" s="2">
        <f t="shared" si="2"/>
        <v>0</v>
      </c>
      <c r="Q154" s="2">
        <f t="shared" si="3"/>
        <v>0</v>
      </c>
      <c r="R154" s="2">
        <f t="shared" si="4"/>
        <v>0</v>
      </c>
      <c r="S154" s="2">
        <f t="shared" si="5"/>
        <v>1</v>
      </c>
      <c r="T154" s="2">
        <f t="shared" si="6"/>
        <v>0</v>
      </c>
      <c r="U154" s="2">
        <f t="shared" si="7"/>
        <v>795182.209</v>
      </c>
      <c r="V154" s="2">
        <f t="shared" si="8"/>
        <v>-10153.95902</v>
      </c>
    </row>
    <row r="155" ht="15.75" customHeight="1">
      <c r="A155" s="2" t="s">
        <v>60</v>
      </c>
      <c r="B155" s="3">
        <v>45689.0</v>
      </c>
      <c r="C155" s="2" t="s">
        <v>15</v>
      </c>
      <c r="D155" s="2" t="s">
        <v>18</v>
      </c>
      <c r="E155" s="2">
        <v>64374.75</v>
      </c>
      <c r="F155" s="2">
        <v>6740.0</v>
      </c>
      <c r="G155" s="2">
        <v>0.169</v>
      </c>
      <c r="H155" s="2">
        <v>18.0</v>
      </c>
      <c r="I155" s="2">
        <v>87.0</v>
      </c>
      <c r="J155" s="2">
        <v>2.09</v>
      </c>
      <c r="K155" s="2">
        <v>0.0</v>
      </c>
      <c r="L155" s="2">
        <v>4.2</v>
      </c>
      <c r="M155" s="2">
        <v>698492.67</v>
      </c>
      <c r="N155" s="2">
        <v>117319.32</v>
      </c>
      <c r="O155" s="2">
        <f t="shared" si="1"/>
        <v>1</v>
      </c>
      <c r="P155" s="2">
        <f t="shared" si="2"/>
        <v>0</v>
      </c>
      <c r="Q155" s="2">
        <f t="shared" si="3"/>
        <v>0</v>
      </c>
      <c r="R155" s="2">
        <f t="shared" si="4"/>
        <v>0</v>
      </c>
      <c r="S155" s="2">
        <f t="shared" si="5"/>
        <v>1</v>
      </c>
      <c r="T155" s="2">
        <f t="shared" si="6"/>
        <v>0</v>
      </c>
      <c r="U155" s="2">
        <f t="shared" si="7"/>
        <v>681322.0735</v>
      </c>
      <c r="V155" s="2">
        <f t="shared" si="8"/>
        <v>17170.59654</v>
      </c>
    </row>
    <row r="156" ht="15.75" customHeight="1">
      <c r="A156" s="2" t="s">
        <v>60</v>
      </c>
      <c r="B156" s="3">
        <v>45717.0</v>
      </c>
      <c r="C156" s="2" t="s">
        <v>15</v>
      </c>
      <c r="D156" s="2" t="s">
        <v>18</v>
      </c>
      <c r="E156" s="2">
        <v>61433.84</v>
      </c>
      <c r="F156" s="2">
        <v>7745.0</v>
      </c>
      <c r="G156" s="2">
        <v>0.18</v>
      </c>
      <c r="H156" s="2">
        <v>16.0</v>
      </c>
      <c r="I156" s="2">
        <v>90.5</v>
      </c>
      <c r="J156" s="2">
        <v>2.26</v>
      </c>
      <c r="K156" s="2">
        <v>0.0</v>
      </c>
      <c r="L156" s="2">
        <v>4.2</v>
      </c>
      <c r="M156" s="2">
        <v>685830.24</v>
      </c>
      <c r="N156" s="2">
        <v>128736.18</v>
      </c>
      <c r="O156" s="2">
        <f t="shared" si="1"/>
        <v>1</v>
      </c>
      <c r="P156" s="2">
        <f t="shared" si="2"/>
        <v>0</v>
      </c>
      <c r="Q156" s="2">
        <f t="shared" si="3"/>
        <v>0</v>
      </c>
      <c r="R156" s="2">
        <f t="shared" si="4"/>
        <v>0</v>
      </c>
      <c r="S156" s="2">
        <f t="shared" si="5"/>
        <v>1</v>
      </c>
      <c r="T156" s="2">
        <f t="shared" si="6"/>
        <v>0</v>
      </c>
      <c r="U156" s="2">
        <f t="shared" si="7"/>
        <v>721732.7962</v>
      </c>
      <c r="V156" s="2">
        <f t="shared" si="8"/>
        <v>-35902.55615</v>
      </c>
    </row>
    <row r="157" ht="15.75" customHeight="1">
      <c r="A157" s="2" t="s">
        <v>60</v>
      </c>
      <c r="B157" s="3">
        <v>45748.0</v>
      </c>
      <c r="C157" s="2" t="s">
        <v>15</v>
      </c>
      <c r="D157" s="2" t="s">
        <v>18</v>
      </c>
      <c r="E157" s="2">
        <v>42698.14</v>
      </c>
      <c r="F157" s="2">
        <v>7693.0</v>
      </c>
      <c r="G157" s="2">
        <v>0.187</v>
      </c>
      <c r="H157" s="2">
        <v>19.0</v>
      </c>
      <c r="I157" s="2">
        <v>90.1</v>
      </c>
      <c r="J157" s="2">
        <v>0.44</v>
      </c>
      <c r="K157" s="2">
        <v>0.0</v>
      </c>
      <c r="L157" s="2">
        <v>4.4</v>
      </c>
      <c r="M157" s="2">
        <v>702318.94</v>
      </c>
      <c r="N157" s="2">
        <v>112829.29</v>
      </c>
      <c r="O157" s="2">
        <f t="shared" si="1"/>
        <v>1</v>
      </c>
      <c r="P157" s="2">
        <f t="shared" si="2"/>
        <v>0</v>
      </c>
      <c r="Q157" s="2">
        <f t="shared" si="3"/>
        <v>0</v>
      </c>
      <c r="R157" s="2">
        <f t="shared" si="4"/>
        <v>0</v>
      </c>
      <c r="S157" s="2">
        <f t="shared" si="5"/>
        <v>1</v>
      </c>
      <c r="T157" s="2">
        <f t="shared" si="6"/>
        <v>0</v>
      </c>
      <c r="U157" s="2">
        <f t="shared" si="7"/>
        <v>696620.9682</v>
      </c>
      <c r="V157" s="2">
        <f t="shared" si="8"/>
        <v>5697.971758</v>
      </c>
    </row>
    <row r="158" ht="15.75" customHeight="1">
      <c r="A158" s="2" t="s">
        <v>61</v>
      </c>
      <c r="B158" s="3">
        <v>45658.0</v>
      </c>
      <c r="C158" s="2" t="s">
        <v>20</v>
      </c>
      <c r="D158" s="2" t="s">
        <v>28</v>
      </c>
      <c r="E158" s="2">
        <v>86883.31</v>
      </c>
      <c r="F158" s="2">
        <v>6424.0</v>
      </c>
      <c r="G158" s="2">
        <v>0.057</v>
      </c>
      <c r="H158" s="2">
        <v>19.0</v>
      </c>
      <c r="I158" s="2">
        <v>85.2</v>
      </c>
      <c r="J158" s="2">
        <v>3.08</v>
      </c>
      <c r="K158" s="2">
        <v>0.0</v>
      </c>
      <c r="L158" s="2">
        <v>3.9</v>
      </c>
      <c r="M158" s="2">
        <v>700078.32</v>
      </c>
      <c r="N158" s="2">
        <v>123707.58</v>
      </c>
      <c r="O158" s="2">
        <f t="shared" si="1"/>
        <v>0</v>
      </c>
      <c r="P158" s="2">
        <f t="shared" si="2"/>
        <v>1</v>
      </c>
      <c r="Q158" s="2">
        <f t="shared" si="3"/>
        <v>0</v>
      </c>
      <c r="R158" s="2">
        <f t="shared" si="4"/>
        <v>0</v>
      </c>
      <c r="S158" s="2">
        <f t="shared" si="5"/>
        <v>0</v>
      </c>
      <c r="T158" s="2">
        <f t="shared" si="6"/>
        <v>1</v>
      </c>
      <c r="U158" s="2">
        <f t="shared" si="7"/>
        <v>702791.889</v>
      </c>
      <c r="V158" s="2">
        <f t="shared" si="8"/>
        <v>-2713.56899</v>
      </c>
    </row>
    <row r="159" ht="15.75" customHeight="1">
      <c r="A159" s="2" t="s">
        <v>61</v>
      </c>
      <c r="B159" s="3">
        <v>45689.0</v>
      </c>
      <c r="C159" s="2" t="s">
        <v>20</v>
      </c>
      <c r="D159" s="2" t="s">
        <v>28</v>
      </c>
      <c r="E159" s="2">
        <v>41863.08</v>
      </c>
      <c r="F159" s="2">
        <v>5400.0</v>
      </c>
      <c r="G159" s="2">
        <v>0.114</v>
      </c>
      <c r="H159" s="2">
        <v>11.0</v>
      </c>
      <c r="I159" s="2">
        <v>91.6</v>
      </c>
      <c r="J159" s="2">
        <v>7.99</v>
      </c>
      <c r="K159" s="2">
        <v>0.0</v>
      </c>
      <c r="L159" s="2">
        <v>3.0</v>
      </c>
      <c r="M159" s="2">
        <v>602002.32</v>
      </c>
      <c r="N159" s="2">
        <v>110453.28</v>
      </c>
      <c r="O159" s="2">
        <f t="shared" si="1"/>
        <v>0</v>
      </c>
      <c r="P159" s="2">
        <f t="shared" si="2"/>
        <v>1</v>
      </c>
      <c r="Q159" s="2">
        <f t="shared" si="3"/>
        <v>0</v>
      </c>
      <c r="R159" s="2">
        <f t="shared" si="4"/>
        <v>0</v>
      </c>
      <c r="S159" s="2">
        <f t="shared" si="5"/>
        <v>0</v>
      </c>
      <c r="T159" s="2">
        <f t="shared" si="6"/>
        <v>1</v>
      </c>
      <c r="U159" s="2">
        <f t="shared" si="7"/>
        <v>632747.109</v>
      </c>
      <c r="V159" s="2">
        <f t="shared" si="8"/>
        <v>-30744.78897</v>
      </c>
    </row>
    <row r="160" ht="15.75" customHeight="1">
      <c r="A160" s="2" t="s">
        <v>61</v>
      </c>
      <c r="B160" s="3">
        <v>45717.0</v>
      </c>
      <c r="C160" s="2" t="s">
        <v>20</v>
      </c>
      <c r="D160" s="2" t="s">
        <v>28</v>
      </c>
      <c r="E160" s="2">
        <v>56918.16</v>
      </c>
      <c r="F160" s="2">
        <v>7015.0</v>
      </c>
      <c r="G160" s="2">
        <v>0.158</v>
      </c>
      <c r="H160" s="2">
        <v>18.0</v>
      </c>
      <c r="I160" s="2">
        <v>74.2</v>
      </c>
      <c r="J160" s="2">
        <v>0.2</v>
      </c>
      <c r="K160" s="2">
        <v>0.0</v>
      </c>
      <c r="L160" s="2">
        <v>3.4</v>
      </c>
      <c r="M160" s="2">
        <v>724216.07</v>
      </c>
      <c r="N160" s="2">
        <v>100627.56</v>
      </c>
      <c r="O160" s="2">
        <f t="shared" si="1"/>
        <v>0</v>
      </c>
      <c r="P160" s="2">
        <f t="shared" si="2"/>
        <v>1</v>
      </c>
      <c r="Q160" s="2">
        <f t="shared" si="3"/>
        <v>0</v>
      </c>
      <c r="R160" s="2">
        <f t="shared" si="4"/>
        <v>0</v>
      </c>
      <c r="S160" s="2">
        <f t="shared" si="5"/>
        <v>0</v>
      </c>
      <c r="T160" s="2">
        <f t="shared" si="6"/>
        <v>1</v>
      </c>
      <c r="U160" s="2">
        <f t="shared" si="7"/>
        <v>656264.6482</v>
      </c>
      <c r="V160" s="2">
        <f t="shared" si="8"/>
        <v>67951.42183</v>
      </c>
    </row>
    <row r="161" ht="15.75" customHeight="1">
      <c r="A161" s="2" t="s">
        <v>61</v>
      </c>
      <c r="B161" s="3">
        <v>45748.0</v>
      </c>
      <c r="C161" s="2" t="s">
        <v>20</v>
      </c>
      <c r="D161" s="2" t="s">
        <v>28</v>
      </c>
      <c r="E161" s="2">
        <v>23254.57</v>
      </c>
      <c r="F161" s="2">
        <v>3847.0</v>
      </c>
      <c r="G161" s="2">
        <v>0.159</v>
      </c>
      <c r="H161" s="2">
        <v>12.0</v>
      </c>
      <c r="I161" s="2">
        <v>93.0</v>
      </c>
      <c r="J161" s="2">
        <v>5.46</v>
      </c>
      <c r="K161" s="2">
        <v>0.0</v>
      </c>
      <c r="L161" s="2">
        <v>3.3</v>
      </c>
      <c r="M161" s="2">
        <v>620973.03</v>
      </c>
      <c r="N161" s="2">
        <v>72303.85</v>
      </c>
      <c r="O161" s="2">
        <f t="shared" si="1"/>
        <v>0</v>
      </c>
      <c r="P161" s="2">
        <f t="shared" si="2"/>
        <v>1</v>
      </c>
      <c r="Q161" s="2">
        <f t="shared" si="3"/>
        <v>0</v>
      </c>
      <c r="R161" s="2">
        <f t="shared" si="4"/>
        <v>0</v>
      </c>
      <c r="S161" s="2">
        <f t="shared" si="5"/>
        <v>0</v>
      </c>
      <c r="T161" s="2">
        <f t="shared" si="6"/>
        <v>1</v>
      </c>
      <c r="U161" s="2">
        <f t="shared" si="7"/>
        <v>562025.0763</v>
      </c>
      <c r="V161" s="2">
        <f t="shared" si="8"/>
        <v>58947.95375</v>
      </c>
    </row>
    <row r="162" ht="15.75" customHeight="1">
      <c r="A162" s="2" t="s">
        <v>62</v>
      </c>
      <c r="B162" s="3">
        <v>45658.0</v>
      </c>
      <c r="C162" s="2" t="s">
        <v>24</v>
      </c>
      <c r="D162" s="2" t="s">
        <v>18</v>
      </c>
      <c r="E162" s="2">
        <v>41443.41</v>
      </c>
      <c r="F162" s="2">
        <v>7455.0</v>
      </c>
      <c r="G162" s="2">
        <v>0.175</v>
      </c>
      <c r="H162" s="2">
        <v>16.0</v>
      </c>
      <c r="I162" s="2">
        <v>90.1</v>
      </c>
      <c r="J162" s="2">
        <v>4.05</v>
      </c>
      <c r="K162" s="2">
        <v>0.0</v>
      </c>
      <c r="L162" s="2">
        <v>4.0</v>
      </c>
      <c r="M162" s="2">
        <v>650480.06</v>
      </c>
      <c r="N162" s="2">
        <v>109012.07</v>
      </c>
      <c r="O162" s="2">
        <f t="shared" si="1"/>
        <v>0</v>
      </c>
      <c r="P162" s="2">
        <f t="shared" si="2"/>
        <v>0</v>
      </c>
      <c r="Q162" s="2">
        <f t="shared" si="3"/>
        <v>1</v>
      </c>
      <c r="R162" s="2">
        <f t="shared" si="4"/>
        <v>0</v>
      </c>
      <c r="S162" s="2">
        <f t="shared" si="5"/>
        <v>1</v>
      </c>
      <c r="T162" s="2">
        <f t="shared" si="6"/>
        <v>0</v>
      </c>
      <c r="U162" s="2">
        <f t="shared" si="7"/>
        <v>709011.7207</v>
      </c>
      <c r="V162" s="2">
        <f t="shared" si="8"/>
        <v>-58531.66071</v>
      </c>
    </row>
    <row r="163" ht="15.75" customHeight="1">
      <c r="A163" s="2" t="s">
        <v>62</v>
      </c>
      <c r="B163" s="3">
        <v>45689.0</v>
      </c>
      <c r="C163" s="2" t="s">
        <v>24</v>
      </c>
      <c r="D163" s="2" t="s">
        <v>18</v>
      </c>
      <c r="E163" s="2">
        <v>48438.85</v>
      </c>
      <c r="F163" s="2">
        <v>6992.0</v>
      </c>
      <c r="G163" s="2">
        <v>0.034</v>
      </c>
      <c r="H163" s="2">
        <v>20.0</v>
      </c>
      <c r="I163" s="2">
        <v>91.0</v>
      </c>
      <c r="J163" s="2">
        <v>4.36</v>
      </c>
      <c r="K163" s="2">
        <v>0.0</v>
      </c>
      <c r="L163" s="2">
        <v>4.2</v>
      </c>
      <c r="M163" s="2">
        <v>778298.88</v>
      </c>
      <c r="N163" s="2">
        <v>130076.72</v>
      </c>
      <c r="O163" s="2">
        <f t="shared" si="1"/>
        <v>0</v>
      </c>
      <c r="P163" s="2">
        <f t="shared" si="2"/>
        <v>0</v>
      </c>
      <c r="Q163" s="2">
        <f t="shared" si="3"/>
        <v>1</v>
      </c>
      <c r="R163" s="2">
        <f t="shared" si="4"/>
        <v>0</v>
      </c>
      <c r="S163" s="2">
        <f t="shared" si="5"/>
        <v>1</v>
      </c>
      <c r="T163" s="2">
        <f t="shared" si="6"/>
        <v>0</v>
      </c>
      <c r="U163" s="2">
        <f t="shared" si="7"/>
        <v>704165.5143</v>
      </c>
      <c r="V163" s="2">
        <f t="shared" si="8"/>
        <v>74133.36568</v>
      </c>
    </row>
    <row r="164" ht="15.75" customHeight="1">
      <c r="A164" s="2" t="s">
        <v>62</v>
      </c>
      <c r="B164" s="3">
        <v>45717.0</v>
      </c>
      <c r="C164" s="2" t="s">
        <v>24</v>
      </c>
      <c r="D164" s="2" t="s">
        <v>18</v>
      </c>
      <c r="E164" s="2">
        <v>57143.3</v>
      </c>
      <c r="F164" s="2">
        <v>8038.0</v>
      </c>
      <c r="G164" s="2">
        <v>0.193</v>
      </c>
      <c r="H164" s="2">
        <v>17.0</v>
      </c>
      <c r="I164" s="2">
        <v>72.6</v>
      </c>
      <c r="J164" s="2"/>
      <c r="K164" s="2">
        <v>0.0</v>
      </c>
      <c r="L164" s="2">
        <v>4.2</v>
      </c>
      <c r="M164" s="2">
        <v>677096.71</v>
      </c>
      <c r="N164" s="2">
        <v>97174.11</v>
      </c>
      <c r="O164" s="2">
        <f t="shared" si="1"/>
        <v>0</v>
      </c>
      <c r="P164" s="2">
        <f t="shared" si="2"/>
        <v>0</v>
      </c>
      <c r="Q164" s="2">
        <f t="shared" si="3"/>
        <v>1</v>
      </c>
      <c r="R164" s="2">
        <f t="shared" si="4"/>
        <v>0</v>
      </c>
      <c r="S164" s="2">
        <f t="shared" si="5"/>
        <v>1</v>
      </c>
      <c r="T164" s="2">
        <f t="shared" si="6"/>
        <v>0</v>
      </c>
      <c r="U164" s="2">
        <f t="shared" si="7"/>
        <v>698062.0717</v>
      </c>
      <c r="V164" s="2">
        <f t="shared" si="8"/>
        <v>-20965.36173</v>
      </c>
    </row>
    <row r="165" ht="15.75" customHeight="1">
      <c r="A165" s="2" t="s">
        <v>62</v>
      </c>
      <c r="B165" s="3">
        <v>45748.0</v>
      </c>
      <c r="C165" s="2" t="s">
        <v>24</v>
      </c>
      <c r="D165" s="2" t="s">
        <v>18</v>
      </c>
      <c r="E165" s="2">
        <v>66870.62</v>
      </c>
      <c r="F165" s="2">
        <v>6055.0</v>
      </c>
      <c r="G165" s="2">
        <v>0.075</v>
      </c>
      <c r="H165" s="2">
        <v>19.0</v>
      </c>
      <c r="I165" s="2">
        <v>93.8</v>
      </c>
      <c r="J165" s="2">
        <v>0.54</v>
      </c>
      <c r="K165" s="2">
        <v>0.0</v>
      </c>
      <c r="L165" s="2">
        <v>4.3</v>
      </c>
      <c r="M165" s="2">
        <v>692008.64</v>
      </c>
      <c r="N165" s="2">
        <v>116337.87</v>
      </c>
      <c r="O165" s="2">
        <f t="shared" si="1"/>
        <v>0</v>
      </c>
      <c r="P165" s="2">
        <f t="shared" si="2"/>
        <v>0</v>
      </c>
      <c r="Q165" s="2">
        <f t="shared" si="3"/>
        <v>1</v>
      </c>
      <c r="R165" s="2">
        <f t="shared" si="4"/>
        <v>0</v>
      </c>
      <c r="S165" s="2">
        <f t="shared" si="5"/>
        <v>1</v>
      </c>
      <c r="T165" s="2">
        <f t="shared" si="6"/>
        <v>0</v>
      </c>
      <c r="U165" s="2">
        <f t="shared" si="7"/>
        <v>702186.2561</v>
      </c>
      <c r="V165" s="2">
        <f t="shared" si="8"/>
        <v>-10177.61612</v>
      </c>
    </row>
    <row r="166" ht="15.75" customHeight="1">
      <c r="A166" s="2" t="s">
        <v>63</v>
      </c>
      <c r="B166" s="3">
        <v>45658.0</v>
      </c>
      <c r="C166" s="2" t="s">
        <v>20</v>
      </c>
      <c r="D166" s="2" t="s">
        <v>28</v>
      </c>
      <c r="E166" s="2">
        <v>72150.53</v>
      </c>
      <c r="F166" s="2">
        <v>9323.0</v>
      </c>
      <c r="G166" s="2">
        <v>0.157</v>
      </c>
      <c r="H166" s="2">
        <v>22.0</v>
      </c>
      <c r="I166" s="2">
        <v>82.9</v>
      </c>
      <c r="J166" s="2">
        <v>11.37</v>
      </c>
      <c r="K166" s="2">
        <v>1.0</v>
      </c>
      <c r="L166" s="2">
        <v>4.3</v>
      </c>
      <c r="M166" s="2">
        <v>825797.91</v>
      </c>
      <c r="N166" s="2">
        <v>130945.24</v>
      </c>
      <c r="O166" s="2">
        <f t="shared" si="1"/>
        <v>0</v>
      </c>
      <c r="P166" s="2">
        <f t="shared" si="2"/>
        <v>1</v>
      </c>
      <c r="Q166" s="2">
        <f t="shared" si="3"/>
        <v>0</v>
      </c>
      <c r="R166" s="2">
        <f t="shared" si="4"/>
        <v>0</v>
      </c>
      <c r="S166" s="2">
        <f t="shared" si="5"/>
        <v>0</v>
      </c>
      <c r="T166" s="2">
        <f t="shared" si="6"/>
        <v>1</v>
      </c>
      <c r="U166" s="2">
        <f t="shared" si="7"/>
        <v>777013.8542</v>
      </c>
      <c r="V166" s="2">
        <f t="shared" si="8"/>
        <v>48784.05584</v>
      </c>
    </row>
    <row r="167" ht="15.75" customHeight="1">
      <c r="A167" s="2" t="s">
        <v>63</v>
      </c>
      <c r="B167" s="3">
        <v>45689.0</v>
      </c>
      <c r="C167" s="2" t="s">
        <v>20</v>
      </c>
      <c r="D167" s="2" t="s">
        <v>28</v>
      </c>
      <c r="E167" s="2">
        <v>35303.3</v>
      </c>
      <c r="F167" s="2">
        <v>8789.0</v>
      </c>
      <c r="G167" s="2">
        <v>0.123</v>
      </c>
      <c r="H167" s="2">
        <v>22.0</v>
      </c>
      <c r="I167" s="2">
        <v>86.1</v>
      </c>
      <c r="J167" s="2">
        <v>9.43</v>
      </c>
      <c r="K167" s="2">
        <v>0.0</v>
      </c>
      <c r="L167" s="2">
        <v>4.2</v>
      </c>
      <c r="M167" s="2">
        <v>706285.52</v>
      </c>
      <c r="N167" s="2">
        <v>138014.72</v>
      </c>
      <c r="O167" s="2">
        <f t="shared" si="1"/>
        <v>0</v>
      </c>
      <c r="P167" s="2">
        <f t="shared" si="2"/>
        <v>1</v>
      </c>
      <c r="Q167" s="2">
        <f t="shared" si="3"/>
        <v>0</v>
      </c>
      <c r="R167" s="2">
        <f t="shared" si="4"/>
        <v>0</v>
      </c>
      <c r="S167" s="2">
        <f t="shared" si="5"/>
        <v>0</v>
      </c>
      <c r="T167" s="2">
        <f t="shared" si="6"/>
        <v>1</v>
      </c>
      <c r="U167" s="2">
        <f t="shared" si="7"/>
        <v>724240.2888</v>
      </c>
      <c r="V167" s="2">
        <f t="shared" si="8"/>
        <v>-17954.76883</v>
      </c>
    </row>
    <row r="168" ht="15.75" customHeight="1">
      <c r="A168" s="2" t="s">
        <v>63</v>
      </c>
      <c r="B168" s="3">
        <v>45717.0</v>
      </c>
      <c r="C168" s="2" t="s">
        <v>20</v>
      </c>
      <c r="D168" s="2" t="s">
        <v>28</v>
      </c>
      <c r="E168" s="2">
        <v>30301.86</v>
      </c>
      <c r="F168" s="2">
        <v>6939.0</v>
      </c>
      <c r="G168" s="2">
        <v>0.09</v>
      </c>
      <c r="H168" s="2">
        <v>16.0</v>
      </c>
      <c r="I168" s="2">
        <v>90.3</v>
      </c>
      <c r="J168" s="2">
        <v>3.49</v>
      </c>
      <c r="K168" s="2">
        <v>0.0</v>
      </c>
      <c r="L168" s="2">
        <v>4.0</v>
      </c>
      <c r="M168" s="2">
        <v>665534.7</v>
      </c>
      <c r="N168" s="2">
        <v>113167.73</v>
      </c>
      <c r="O168" s="2">
        <f t="shared" si="1"/>
        <v>0</v>
      </c>
      <c r="P168" s="2">
        <f t="shared" si="2"/>
        <v>1</v>
      </c>
      <c r="Q168" s="2">
        <f t="shared" si="3"/>
        <v>0</v>
      </c>
      <c r="R168" s="2">
        <f t="shared" si="4"/>
        <v>0</v>
      </c>
      <c r="S168" s="2">
        <f t="shared" si="5"/>
        <v>0</v>
      </c>
      <c r="T168" s="2">
        <f t="shared" si="6"/>
        <v>1</v>
      </c>
      <c r="U168" s="2">
        <f t="shared" si="7"/>
        <v>667490.6918</v>
      </c>
      <c r="V168" s="2">
        <f t="shared" si="8"/>
        <v>-1955.991758</v>
      </c>
    </row>
    <row r="169" ht="15.75" customHeight="1">
      <c r="A169" s="2" t="s">
        <v>63</v>
      </c>
      <c r="B169" s="3">
        <v>45748.0</v>
      </c>
      <c r="C169" s="2" t="s">
        <v>20</v>
      </c>
      <c r="D169" s="2" t="s">
        <v>28</v>
      </c>
      <c r="E169" s="2">
        <v>78432.14</v>
      </c>
      <c r="F169" s="2">
        <v>9440.0</v>
      </c>
      <c r="G169" s="2">
        <v>0.126</v>
      </c>
      <c r="H169" s="2">
        <v>23.0</v>
      </c>
      <c r="I169" s="2">
        <v>89.2</v>
      </c>
      <c r="J169" s="2">
        <v>7.86</v>
      </c>
      <c r="K169" s="2">
        <v>0.0</v>
      </c>
      <c r="L169" s="2">
        <v>4.1</v>
      </c>
      <c r="M169" s="2">
        <v>820729.29</v>
      </c>
      <c r="N169" s="2">
        <v>159325.47</v>
      </c>
      <c r="O169" s="2">
        <f t="shared" si="1"/>
        <v>0</v>
      </c>
      <c r="P169" s="2">
        <f t="shared" si="2"/>
        <v>1</v>
      </c>
      <c r="Q169" s="2">
        <f t="shared" si="3"/>
        <v>0</v>
      </c>
      <c r="R169" s="2">
        <f t="shared" si="4"/>
        <v>0</v>
      </c>
      <c r="S169" s="2">
        <f t="shared" si="5"/>
        <v>0</v>
      </c>
      <c r="T169" s="2">
        <f t="shared" si="6"/>
        <v>1</v>
      </c>
      <c r="U169" s="2">
        <f t="shared" si="7"/>
        <v>806181.1332</v>
      </c>
      <c r="V169" s="2">
        <f t="shared" si="8"/>
        <v>14548.15682</v>
      </c>
    </row>
    <row r="170" ht="15.75" customHeight="1">
      <c r="A170" s="2" t="s">
        <v>64</v>
      </c>
      <c r="B170" s="3">
        <v>45658.0</v>
      </c>
      <c r="C170" s="2" t="s">
        <v>15</v>
      </c>
      <c r="D170" s="2" t="s">
        <v>16</v>
      </c>
      <c r="E170" s="2">
        <v>62059.18</v>
      </c>
      <c r="F170" s="2">
        <v>9374.0</v>
      </c>
      <c r="G170" s="2">
        <v>0.136</v>
      </c>
      <c r="H170" s="2">
        <v>25.0</v>
      </c>
      <c r="I170" s="2">
        <v>87.1</v>
      </c>
      <c r="J170" s="2">
        <v>12.55</v>
      </c>
      <c r="K170" s="2">
        <v>0.0</v>
      </c>
      <c r="L170" s="2">
        <v>4.9</v>
      </c>
      <c r="M170" s="2">
        <v>739831.73</v>
      </c>
      <c r="N170" s="2">
        <v>119490.21</v>
      </c>
      <c r="O170" s="2">
        <f t="shared" si="1"/>
        <v>1</v>
      </c>
      <c r="P170" s="2">
        <f t="shared" si="2"/>
        <v>0</v>
      </c>
      <c r="Q170" s="2">
        <f t="shared" si="3"/>
        <v>0</v>
      </c>
      <c r="R170" s="2">
        <f t="shared" si="4"/>
        <v>0</v>
      </c>
      <c r="S170" s="2">
        <f t="shared" si="5"/>
        <v>0</v>
      </c>
      <c r="T170" s="2">
        <f t="shared" si="6"/>
        <v>0</v>
      </c>
      <c r="U170" s="2">
        <f t="shared" si="7"/>
        <v>768061.6059</v>
      </c>
      <c r="V170" s="2">
        <f t="shared" si="8"/>
        <v>-28229.87595</v>
      </c>
    </row>
    <row r="171" ht="15.75" customHeight="1">
      <c r="A171" s="2" t="s">
        <v>64</v>
      </c>
      <c r="B171" s="3">
        <v>45689.0</v>
      </c>
      <c r="C171" s="2" t="s">
        <v>15</v>
      </c>
      <c r="D171" s="2" t="s">
        <v>16</v>
      </c>
      <c r="E171" s="2">
        <v>32834.48</v>
      </c>
      <c r="F171" s="2">
        <v>7576.0</v>
      </c>
      <c r="G171" s="2">
        <v>0.099</v>
      </c>
      <c r="H171" s="2">
        <v>15.0</v>
      </c>
      <c r="I171" s="2">
        <v>84.1</v>
      </c>
      <c r="J171" s="2">
        <v>3.48</v>
      </c>
      <c r="K171" s="2">
        <v>0.0</v>
      </c>
      <c r="L171" s="2">
        <v>5.0</v>
      </c>
      <c r="M171" s="2">
        <v>593637.14</v>
      </c>
      <c r="N171" s="2">
        <v>106648.14</v>
      </c>
      <c r="O171" s="2">
        <f t="shared" si="1"/>
        <v>1</v>
      </c>
      <c r="P171" s="2">
        <f t="shared" si="2"/>
        <v>0</v>
      </c>
      <c r="Q171" s="2">
        <f t="shared" si="3"/>
        <v>0</v>
      </c>
      <c r="R171" s="2">
        <f t="shared" si="4"/>
        <v>0</v>
      </c>
      <c r="S171" s="2">
        <f t="shared" si="5"/>
        <v>0</v>
      </c>
      <c r="T171" s="2">
        <f t="shared" si="6"/>
        <v>0</v>
      </c>
      <c r="U171" s="2">
        <f t="shared" si="7"/>
        <v>664050.2288</v>
      </c>
      <c r="V171" s="2">
        <f t="shared" si="8"/>
        <v>-70413.0888</v>
      </c>
    </row>
    <row r="172" ht="15.75" customHeight="1">
      <c r="A172" s="2" t="s">
        <v>64</v>
      </c>
      <c r="B172" s="3">
        <v>45717.0</v>
      </c>
      <c r="C172" s="2" t="s">
        <v>15</v>
      </c>
      <c r="D172" s="2" t="s">
        <v>16</v>
      </c>
      <c r="E172" s="2">
        <v>50825.08</v>
      </c>
      <c r="F172" s="2">
        <v>8949.0</v>
      </c>
      <c r="G172" s="2">
        <v>0.157</v>
      </c>
      <c r="H172" s="2">
        <v>21.0</v>
      </c>
      <c r="I172" s="2">
        <v>84.7</v>
      </c>
      <c r="J172" s="2">
        <v>7.73</v>
      </c>
      <c r="K172" s="2">
        <v>0.0</v>
      </c>
      <c r="L172" s="2">
        <v>4.9</v>
      </c>
      <c r="M172" s="2">
        <v>769702.76</v>
      </c>
      <c r="N172" s="2">
        <v>158697.0</v>
      </c>
      <c r="O172" s="2">
        <f t="shared" si="1"/>
        <v>1</v>
      </c>
      <c r="P172" s="2">
        <f t="shared" si="2"/>
        <v>0</v>
      </c>
      <c r="Q172" s="2">
        <f t="shared" si="3"/>
        <v>0</v>
      </c>
      <c r="R172" s="2">
        <f t="shared" si="4"/>
        <v>0</v>
      </c>
      <c r="S172" s="2">
        <f t="shared" si="5"/>
        <v>0</v>
      </c>
      <c r="T172" s="2">
        <f t="shared" si="6"/>
        <v>0</v>
      </c>
      <c r="U172" s="2">
        <f t="shared" si="7"/>
        <v>733579.5114</v>
      </c>
      <c r="V172" s="2">
        <f t="shared" si="8"/>
        <v>36123.24861</v>
      </c>
    </row>
    <row r="173" ht="15.75" customHeight="1">
      <c r="A173" s="2" t="s">
        <v>64</v>
      </c>
      <c r="B173" s="3">
        <v>45748.0</v>
      </c>
      <c r="C173" s="2" t="s">
        <v>15</v>
      </c>
      <c r="D173" s="2" t="s">
        <v>16</v>
      </c>
      <c r="E173" s="2">
        <v>36606.51</v>
      </c>
      <c r="F173" s="2">
        <v>7671.0</v>
      </c>
      <c r="G173" s="2">
        <v>0.118</v>
      </c>
      <c r="H173" s="2">
        <v>18.0</v>
      </c>
      <c r="I173" s="2">
        <v>89.8</v>
      </c>
      <c r="J173" s="2">
        <v>0.25</v>
      </c>
      <c r="K173" s="2">
        <v>0.0</v>
      </c>
      <c r="L173" s="2">
        <v>4.4</v>
      </c>
      <c r="M173" s="2">
        <v>679731.57</v>
      </c>
      <c r="N173" s="2">
        <v>121546.42</v>
      </c>
      <c r="O173" s="2">
        <f t="shared" si="1"/>
        <v>1</v>
      </c>
      <c r="P173" s="2">
        <f t="shared" si="2"/>
        <v>0</v>
      </c>
      <c r="Q173" s="2">
        <f t="shared" si="3"/>
        <v>0</v>
      </c>
      <c r="R173" s="2">
        <f t="shared" si="4"/>
        <v>0</v>
      </c>
      <c r="S173" s="2">
        <f t="shared" si="5"/>
        <v>0</v>
      </c>
      <c r="T173" s="2">
        <f t="shared" si="6"/>
        <v>0</v>
      </c>
      <c r="U173" s="2">
        <f t="shared" si="7"/>
        <v>687804.8334</v>
      </c>
      <c r="V173" s="2">
        <f t="shared" si="8"/>
        <v>-8073.263402</v>
      </c>
    </row>
    <row r="174" ht="15.75" customHeight="1">
      <c r="A174" s="2" t="s">
        <v>65</v>
      </c>
      <c r="B174" s="3">
        <v>45658.0</v>
      </c>
      <c r="C174" s="2" t="s">
        <v>15</v>
      </c>
      <c r="D174" s="2" t="s">
        <v>16</v>
      </c>
      <c r="E174" s="2">
        <v>65237.79</v>
      </c>
      <c r="F174" s="2">
        <v>8741.0</v>
      </c>
      <c r="G174" s="2">
        <v>0.157</v>
      </c>
      <c r="H174" s="2">
        <v>20.0</v>
      </c>
      <c r="I174" s="2">
        <v>94.4</v>
      </c>
      <c r="J174" s="2">
        <v>6.43</v>
      </c>
      <c r="K174" s="2">
        <v>0.0</v>
      </c>
      <c r="L174" s="2">
        <v>3.3</v>
      </c>
      <c r="M174" s="2">
        <v>780344.18</v>
      </c>
      <c r="N174" s="2">
        <v>118239.09</v>
      </c>
      <c r="O174" s="2">
        <f t="shared" si="1"/>
        <v>1</v>
      </c>
      <c r="P174" s="2">
        <f t="shared" si="2"/>
        <v>0</v>
      </c>
      <c r="Q174" s="2">
        <f t="shared" si="3"/>
        <v>0</v>
      </c>
      <c r="R174" s="2">
        <f t="shared" si="4"/>
        <v>0</v>
      </c>
      <c r="S174" s="2">
        <f t="shared" si="5"/>
        <v>0</v>
      </c>
      <c r="T174" s="2">
        <f t="shared" si="6"/>
        <v>0</v>
      </c>
      <c r="U174" s="2">
        <f t="shared" si="7"/>
        <v>770966.4355</v>
      </c>
      <c r="V174" s="2">
        <f t="shared" si="8"/>
        <v>9377.744514</v>
      </c>
    </row>
    <row r="175" ht="15.75" customHeight="1">
      <c r="A175" s="2" t="s">
        <v>65</v>
      </c>
      <c r="B175" s="3">
        <v>45689.0</v>
      </c>
      <c r="C175" s="2" t="s">
        <v>15</v>
      </c>
      <c r="D175" s="2" t="s">
        <v>16</v>
      </c>
      <c r="E175" s="2">
        <v>43645.98</v>
      </c>
      <c r="F175" s="2">
        <v>9480.0</v>
      </c>
      <c r="G175" s="2">
        <v>0.109</v>
      </c>
      <c r="H175" s="2">
        <v>22.0</v>
      </c>
      <c r="I175" s="2">
        <v>89.0</v>
      </c>
      <c r="J175" s="2">
        <v>2.11</v>
      </c>
      <c r="K175" s="2">
        <v>0.0</v>
      </c>
      <c r="L175" s="2">
        <v>3.1</v>
      </c>
      <c r="M175" s="2">
        <v>721364.11</v>
      </c>
      <c r="N175" s="2">
        <v>147272.81</v>
      </c>
      <c r="O175" s="2">
        <f t="shared" si="1"/>
        <v>1</v>
      </c>
      <c r="P175" s="2">
        <f t="shared" si="2"/>
        <v>0</v>
      </c>
      <c r="Q175" s="2">
        <f t="shared" si="3"/>
        <v>0</v>
      </c>
      <c r="R175" s="2">
        <f t="shared" si="4"/>
        <v>0</v>
      </c>
      <c r="S175" s="2">
        <f t="shared" si="5"/>
        <v>0</v>
      </c>
      <c r="T175" s="2">
        <f t="shared" si="6"/>
        <v>0</v>
      </c>
      <c r="U175" s="2">
        <f t="shared" si="7"/>
        <v>755164.8056</v>
      </c>
      <c r="V175" s="2">
        <f t="shared" si="8"/>
        <v>-33800.69564</v>
      </c>
    </row>
    <row r="176" ht="15.75" customHeight="1">
      <c r="A176" s="2" t="s">
        <v>65</v>
      </c>
      <c r="B176" s="3">
        <v>45717.0</v>
      </c>
      <c r="C176" s="2" t="s">
        <v>15</v>
      </c>
      <c r="D176" s="2" t="s">
        <v>16</v>
      </c>
      <c r="E176" s="2">
        <v>68040.15</v>
      </c>
      <c r="F176" s="2">
        <v>9826.0</v>
      </c>
      <c r="G176" s="2">
        <v>0.125</v>
      </c>
      <c r="H176" s="2">
        <v>20.0</v>
      </c>
      <c r="I176" s="2">
        <v>83.9</v>
      </c>
      <c r="J176" s="2">
        <v>9.12</v>
      </c>
      <c r="K176" s="2">
        <v>0.0</v>
      </c>
      <c r="L176" s="2">
        <v>3.6</v>
      </c>
      <c r="M176" s="2">
        <v>758138.29</v>
      </c>
      <c r="N176" s="2">
        <v>132975.26</v>
      </c>
      <c r="O176" s="2">
        <f t="shared" si="1"/>
        <v>1</v>
      </c>
      <c r="P176" s="2">
        <f t="shared" si="2"/>
        <v>0</v>
      </c>
      <c r="Q176" s="2">
        <f t="shared" si="3"/>
        <v>0</v>
      </c>
      <c r="R176" s="2">
        <f t="shared" si="4"/>
        <v>0</v>
      </c>
      <c r="S176" s="2">
        <f t="shared" si="5"/>
        <v>0</v>
      </c>
      <c r="T176" s="2">
        <f t="shared" si="6"/>
        <v>0</v>
      </c>
      <c r="U176" s="2">
        <f t="shared" si="7"/>
        <v>781445.7953</v>
      </c>
      <c r="V176" s="2">
        <f t="shared" si="8"/>
        <v>-23307.50532</v>
      </c>
    </row>
    <row r="177" ht="15.75" customHeight="1">
      <c r="A177" s="2" t="s">
        <v>65</v>
      </c>
      <c r="B177" s="3">
        <v>45748.0</v>
      </c>
      <c r="C177" s="2" t="s">
        <v>15</v>
      </c>
      <c r="D177" s="2" t="s">
        <v>16</v>
      </c>
      <c r="E177" s="2">
        <v>63043.94</v>
      </c>
      <c r="F177" s="2">
        <v>10402.0</v>
      </c>
      <c r="G177" s="2">
        <v>0.159</v>
      </c>
      <c r="H177" s="2">
        <v>23.0</v>
      </c>
      <c r="I177" s="2">
        <v>93.9</v>
      </c>
      <c r="J177" s="2">
        <v>2.71</v>
      </c>
      <c r="K177" s="2">
        <v>0.0</v>
      </c>
      <c r="L177" s="2">
        <v>3.1</v>
      </c>
      <c r="M177" s="2">
        <v>804264.0</v>
      </c>
      <c r="N177" s="2">
        <v>167117.91</v>
      </c>
      <c r="O177" s="2">
        <f t="shared" si="1"/>
        <v>1</v>
      </c>
      <c r="P177" s="2">
        <f t="shared" si="2"/>
        <v>0</v>
      </c>
      <c r="Q177" s="2">
        <f t="shared" si="3"/>
        <v>0</v>
      </c>
      <c r="R177" s="2">
        <f t="shared" si="4"/>
        <v>0</v>
      </c>
      <c r="S177" s="2">
        <f t="shared" si="5"/>
        <v>0</v>
      </c>
      <c r="T177" s="2">
        <f t="shared" si="6"/>
        <v>0</v>
      </c>
      <c r="U177" s="2">
        <f t="shared" si="7"/>
        <v>823207.3949</v>
      </c>
      <c r="V177" s="2">
        <f t="shared" si="8"/>
        <v>-18943.39487</v>
      </c>
    </row>
    <row r="178" ht="15.75" customHeight="1">
      <c r="A178" s="2" t="s">
        <v>66</v>
      </c>
      <c r="B178" s="3">
        <v>45658.0</v>
      </c>
      <c r="C178" s="2" t="s">
        <v>27</v>
      </c>
      <c r="D178" s="2" t="s">
        <v>21</v>
      </c>
      <c r="E178" s="2">
        <v>67494.09</v>
      </c>
      <c r="F178" s="2">
        <v>12361.0</v>
      </c>
      <c r="G178" s="2">
        <v>0.046</v>
      </c>
      <c r="H178" s="2">
        <v>24.0</v>
      </c>
      <c r="I178" s="2">
        <v>76.6</v>
      </c>
      <c r="J178" s="2">
        <v>3.65</v>
      </c>
      <c r="K178" s="2">
        <v>1.0</v>
      </c>
      <c r="L178" s="2">
        <v>3.7</v>
      </c>
      <c r="M178" s="2">
        <v>887537.75</v>
      </c>
      <c r="N178" s="2">
        <v>160362.92</v>
      </c>
      <c r="O178" s="2">
        <f t="shared" si="1"/>
        <v>0</v>
      </c>
      <c r="P178" s="2">
        <f t="shared" si="2"/>
        <v>0</v>
      </c>
      <c r="Q178" s="2">
        <f t="shared" si="3"/>
        <v>0</v>
      </c>
      <c r="R178" s="2">
        <f t="shared" si="4"/>
        <v>1</v>
      </c>
      <c r="S178" s="2">
        <f t="shared" si="5"/>
        <v>0</v>
      </c>
      <c r="T178" s="2">
        <f t="shared" si="6"/>
        <v>0</v>
      </c>
      <c r="U178" s="2">
        <f t="shared" si="7"/>
        <v>863567.5643</v>
      </c>
      <c r="V178" s="2">
        <f t="shared" si="8"/>
        <v>23970.18571</v>
      </c>
    </row>
    <row r="179" ht="15.75" customHeight="1">
      <c r="A179" s="2" t="s">
        <v>66</v>
      </c>
      <c r="B179" s="3">
        <v>45689.0</v>
      </c>
      <c r="C179" s="2" t="s">
        <v>27</v>
      </c>
      <c r="D179" s="2" t="s">
        <v>21</v>
      </c>
      <c r="E179" s="2">
        <v>29389.32</v>
      </c>
      <c r="F179" s="2">
        <v>7925.0</v>
      </c>
      <c r="G179" s="2">
        <v>0.177</v>
      </c>
      <c r="H179" s="2">
        <v>21.0</v>
      </c>
      <c r="I179" s="2">
        <v>90.9</v>
      </c>
      <c r="J179" s="2">
        <v>7.86</v>
      </c>
      <c r="K179" s="2">
        <v>0.0</v>
      </c>
      <c r="L179" s="2">
        <v>4.0</v>
      </c>
      <c r="M179" s="2">
        <v>783582.0</v>
      </c>
      <c r="N179" s="2">
        <v>130670.93</v>
      </c>
      <c r="O179" s="2">
        <f t="shared" si="1"/>
        <v>0</v>
      </c>
      <c r="P179" s="2">
        <f t="shared" si="2"/>
        <v>0</v>
      </c>
      <c r="Q179" s="2">
        <f t="shared" si="3"/>
        <v>0</v>
      </c>
      <c r="R179" s="2">
        <f t="shared" si="4"/>
        <v>1</v>
      </c>
      <c r="S179" s="2">
        <f t="shared" si="5"/>
        <v>0</v>
      </c>
      <c r="T179" s="2">
        <f t="shared" si="6"/>
        <v>0</v>
      </c>
      <c r="U179" s="2">
        <f t="shared" si="7"/>
        <v>708435.9603</v>
      </c>
      <c r="V179" s="2">
        <f t="shared" si="8"/>
        <v>75146.03969</v>
      </c>
    </row>
    <row r="180" ht="15.75" customHeight="1">
      <c r="A180" s="2" t="s">
        <v>66</v>
      </c>
      <c r="B180" s="3">
        <v>45717.0</v>
      </c>
      <c r="C180" s="2" t="s">
        <v>27</v>
      </c>
      <c r="D180" s="2" t="s">
        <v>21</v>
      </c>
      <c r="E180" s="2">
        <v>40535.09</v>
      </c>
      <c r="F180" s="2">
        <v>8870.0</v>
      </c>
      <c r="G180" s="2">
        <v>0.041</v>
      </c>
      <c r="H180" s="2">
        <v>21.0</v>
      </c>
      <c r="I180" s="2">
        <v>86.6</v>
      </c>
      <c r="J180" s="2">
        <v>0.3</v>
      </c>
      <c r="K180" s="2">
        <v>0.0</v>
      </c>
      <c r="L180" s="2">
        <v>4.1</v>
      </c>
      <c r="M180" s="2">
        <v>781955.52</v>
      </c>
      <c r="N180" s="2">
        <v>152578.71</v>
      </c>
      <c r="O180" s="2">
        <f t="shared" si="1"/>
        <v>0</v>
      </c>
      <c r="P180" s="2">
        <f t="shared" si="2"/>
        <v>0</v>
      </c>
      <c r="Q180" s="2">
        <f t="shared" si="3"/>
        <v>0</v>
      </c>
      <c r="R180" s="2">
        <f t="shared" si="4"/>
        <v>1</v>
      </c>
      <c r="S180" s="2">
        <f t="shared" si="5"/>
        <v>0</v>
      </c>
      <c r="T180" s="2">
        <f t="shared" si="6"/>
        <v>0</v>
      </c>
      <c r="U180" s="2">
        <f t="shared" si="7"/>
        <v>741542.7254</v>
      </c>
      <c r="V180" s="2">
        <f t="shared" si="8"/>
        <v>40412.79465</v>
      </c>
    </row>
    <row r="181" ht="15.75" customHeight="1">
      <c r="A181" s="2" t="s">
        <v>66</v>
      </c>
      <c r="B181" s="3">
        <v>45748.0</v>
      </c>
      <c r="C181" s="2" t="s">
        <v>27</v>
      </c>
      <c r="D181" s="2" t="s">
        <v>21</v>
      </c>
      <c r="E181" s="2">
        <v>74881.56</v>
      </c>
      <c r="F181" s="2">
        <v>9999.0</v>
      </c>
      <c r="G181" s="2">
        <v>0.013</v>
      </c>
      <c r="H181" s="2">
        <v>20.0</v>
      </c>
      <c r="I181" s="2">
        <v>89.6</v>
      </c>
      <c r="J181" s="2">
        <v>8.44</v>
      </c>
      <c r="K181" s="2">
        <v>0.0</v>
      </c>
      <c r="L181" s="2">
        <v>4.1</v>
      </c>
      <c r="M181" s="2">
        <v>898031.04</v>
      </c>
      <c r="N181" s="2">
        <v>138666.5</v>
      </c>
      <c r="O181" s="2">
        <f t="shared" si="1"/>
        <v>0</v>
      </c>
      <c r="P181" s="2">
        <f t="shared" si="2"/>
        <v>0</v>
      </c>
      <c r="Q181" s="2">
        <f t="shared" si="3"/>
        <v>0</v>
      </c>
      <c r="R181" s="2">
        <f t="shared" si="4"/>
        <v>1</v>
      </c>
      <c r="S181" s="2">
        <f t="shared" si="5"/>
        <v>0</v>
      </c>
      <c r="T181" s="2">
        <f t="shared" si="6"/>
        <v>0</v>
      </c>
      <c r="U181" s="2">
        <f t="shared" si="7"/>
        <v>828972.6527</v>
      </c>
      <c r="V181" s="2">
        <f t="shared" si="8"/>
        <v>69058.38729</v>
      </c>
    </row>
    <row r="182" ht="15.75" customHeight="1">
      <c r="A182" s="2" t="s">
        <v>67</v>
      </c>
      <c r="B182" s="3">
        <v>45658.0</v>
      </c>
      <c r="C182" s="2" t="s">
        <v>27</v>
      </c>
      <c r="D182" s="2" t="s">
        <v>16</v>
      </c>
      <c r="E182" s="2">
        <v>68491.11</v>
      </c>
      <c r="F182" s="2">
        <v>11154.0</v>
      </c>
      <c r="G182" s="2">
        <v>0.001</v>
      </c>
      <c r="H182" s="2">
        <v>24.0</v>
      </c>
      <c r="I182" s="2">
        <v>89.4</v>
      </c>
      <c r="J182" s="2">
        <v>5.27</v>
      </c>
      <c r="K182" s="2">
        <v>1.0</v>
      </c>
      <c r="L182" s="2">
        <v>3.9</v>
      </c>
      <c r="M182" s="2">
        <v>855341.28</v>
      </c>
      <c r="N182" s="2">
        <v>175823.8</v>
      </c>
      <c r="O182" s="2">
        <f t="shared" si="1"/>
        <v>0</v>
      </c>
      <c r="P182" s="2">
        <f t="shared" si="2"/>
        <v>0</v>
      </c>
      <c r="Q182" s="2">
        <f t="shared" si="3"/>
        <v>0</v>
      </c>
      <c r="R182" s="2">
        <f t="shared" si="4"/>
        <v>0</v>
      </c>
      <c r="S182" s="2">
        <f t="shared" si="5"/>
        <v>0</v>
      </c>
      <c r="T182" s="2">
        <f t="shared" si="6"/>
        <v>0</v>
      </c>
      <c r="U182" s="2">
        <f t="shared" si="7"/>
        <v>859944.748</v>
      </c>
      <c r="V182" s="2">
        <f t="shared" si="8"/>
        <v>-4603.468038</v>
      </c>
    </row>
    <row r="183" ht="15.75" customHeight="1">
      <c r="A183" s="2" t="s">
        <v>67</v>
      </c>
      <c r="B183" s="3">
        <v>45689.0</v>
      </c>
      <c r="C183" s="2" t="s">
        <v>27</v>
      </c>
      <c r="D183" s="2" t="s">
        <v>16</v>
      </c>
      <c r="E183" s="2">
        <v>45209.25</v>
      </c>
      <c r="F183" s="2">
        <v>9287.0</v>
      </c>
      <c r="G183" s="2">
        <v>0.141</v>
      </c>
      <c r="H183" s="2">
        <v>22.0</v>
      </c>
      <c r="I183" s="2">
        <v>86.4</v>
      </c>
      <c r="J183" s="2">
        <v>13.22</v>
      </c>
      <c r="K183" s="2">
        <v>0.0</v>
      </c>
      <c r="L183" s="2">
        <v>3.6</v>
      </c>
      <c r="M183" s="2">
        <v>751393.88</v>
      </c>
      <c r="N183" s="2">
        <v>91480.32</v>
      </c>
      <c r="O183" s="2">
        <f t="shared" si="1"/>
        <v>0</v>
      </c>
      <c r="P183" s="2">
        <f t="shared" si="2"/>
        <v>0</v>
      </c>
      <c r="Q183" s="2">
        <f t="shared" si="3"/>
        <v>0</v>
      </c>
      <c r="R183" s="2">
        <f t="shared" si="4"/>
        <v>0</v>
      </c>
      <c r="S183" s="2">
        <f t="shared" si="5"/>
        <v>0</v>
      </c>
      <c r="T183" s="2">
        <f t="shared" si="6"/>
        <v>0</v>
      </c>
      <c r="U183" s="2">
        <f t="shared" si="7"/>
        <v>760645.7415</v>
      </c>
      <c r="V183" s="2">
        <f t="shared" si="8"/>
        <v>-9251.86148</v>
      </c>
    </row>
    <row r="184" ht="15.75" customHeight="1">
      <c r="A184" s="2" t="s">
        <v>67</v>
      </c>
      <c r="B184" s="3">
        <v>45717.0</v>
      </c>
      <c r="C184" s="2" t="s">
        <v>27</v>
      </c>
      <c r="D184" s="2" t="s">
        <v>16</v>
      </c>
      <c r="E184" s="2">
        <v>63010.23</v>
      </c>
      <c r="F184" s="2">
        <v>9812.0</v>
      </c>
      <c r="G184" s="2">
        <v>0.113</v>
      </c>
      <c r="H184" s="2">
        <v>24.0</v>
      </c>
      <c r="I184" s="2">
        <v>76.8</v>
      </c>
      <c r="J184" s="2">
        <v>1.02</v>
      </c>
      <c r="K184" s="2">
        <v>1.0</v>
      </c>
      <c r="L184" s="2">
        <v>3.8</v>
      </c>
      <c r="M184" s="2">
        <v>761077.08</v>
      </c>
      <c r="N184" s="2">
        <v>113605.93</v>
      </c>
      <c r="O184" s="2">
        <f t="shared" si="1"/>
        <v>0</v>
      </c>
      <c r="P184" s="2">
        <f t="shared" si="2"/>
        <v>0</v>
      </c>
      <c r="Q184" s="2">
        <f t="shared" si="3"/>
        <v>0</v>
      </c>
      <c r="R184" s="2">
        <f t="shared" si="4"/>
        <v>0</v>
      </c>
      <c r="S184" s="2">
        <f t="shared" si="5"/>
        <v>0</v>
      </c>
      <c r="T184" s="2">
        <f t="shared" si="6"/>
        <v>0</v>
      </c>
      <c r="U184" s="2">
        <f t="shared" si="7"/>
        <v>772486.8964</v>
      </c>
      <c r="V184" s="2">
        <f t="shared" si="8"/>
        <v>-11409.81642</v>
      </c>
    </row>
    <row r="185" ht="15.75" customHeight="1">
      <c r="A185" s="2" t="s">
        <v>67</v>
      </c>
      <c r="B185" s="3">
        <v>45748.0</v>
      </c>
      <c r="C185" s="2" t="s">
        <v>27</v>
      </c>
      <c r="D185" s="2" t="s">
        <v>16</v>
      </c>
      <c r="E185" s="2">
        <v>57948.88</v>
      </c>
      <c r="F185" s="2">
        <v>10741.0</v>
      </c>
      <c r="G185" s="2">
        <v>0.07</v>
      </c>
      <c r="H185" s="2">
        <v>25.0</v>
      </c>
      <c r="I185" s="2">
        <v>90.1</v>
      </c>
      <c r="J185" s="2">
        <v>4.03</v>
      </c>
      <c r="K185" s="2">
        <v>0.0</v>
      </c>
      <c r="L185" s="2">
        <v>3.1</v>
      </c>
      <c r="M185" s="2">
        <v>819660.59</v>
      </c>
      <c r="N185" s="2">
        <v>172699.95</v>
      </c>
      <c r="O185" s="2">
        <f t="shared" si="1"/>
        <v>0</v>
      </c>
      <c r="P185" s="2">
        <f t="shared" si="2"/>
        <v>0</v>
      </c>
      <c r="Q185" s="2">
        <f t="shared" si="3"/>
        <v>0</v>
      </c>
      <c r="R185" s="2">
        <f t="shared" si="4"/>
        <v>0</v>
      </c>
      <c r="S185" s="2">
        <f t="shared" si="5"/>
        <v>0</v>
      </c>
      <c r="T185" s="2">
        <f t="shared" si="6"/>
        <v>0</v>
      </c>
      <c r="U185" s="2">
        <f t="shared" si="7"/>
        <v>835425.768</v>
      </c>
      <c r="V185" s="2">
        <f t="shared" si="8"/>
        <v>-15765.178</v>
      </c>
    </row>
    <row r="186" ht="15.75" customHeight="1">
      <c r="A186" s="2" t="s">
        <v>68</v>
      </c>
      <c r="B186" s="3">
        <v>45658.0</v>
      </c>
      <c r="C186" s="2" t="s">
        <v>20</v>
      </c>
      <c r="D186" s="2" t="s">
        <v>18</v>
      </c>
      <c r="E186" s="2">
        <v>71941.62</v>
      </c>
      <c r="F186" s="2">
        <v>6084.0</v>
      </c>
      <c r="G186" s="2">
        <v>0.072</v>
      </c>
      <c r="H186" s="2">
        <v>13.0</v>
      </c>
      <c r="I186" s="2">
        <v>93.7</v>
      </c>
      <c r="J186" s="2">
        <v>2.34</v>
      </c>
      <c r="K186" s="2">
        <v>0.0</v>
      </c>
      <c r="L186" s="2">
        <v>4.4</v>
      </c>
      <c r="M186" s="2">
        <v>681855.56</v>
      </c>
      <c r="N186" s="2">
        <v>117645.61</v>
      </c>
      <c r="O186" s="2">
        <f t="shared" si="1"/>
        <v>0</v>
      </c>
      <c r="P186" s="2">
        <f t="shared" si="2"/>
        <v>1</v>
      </c>
      <c r="Q186" s="2">
        <f t="shared" si="3"/>
        <v>0</v>
      </c>
      <c r="R186" s="2">
        <f t="shared" si="4"/>
        <v>0</v>
      </c>
      <c r="S186" s="2">
        <f t="shared" si="5"/>
        <v>1</v>
      </c>
      <c r="T186" s="2">
        <f t="shared" si="6"/>
        <v>0</v>
      </c>
      <c r="U186" s="2">
        <f t="shared" si="7"/>
        <v>697507.724</v>
      </c>
      <c r="V186" s="2">
        <f t="shared" si="8"/>
        <v>-15652.16398</v>
      </c>
    </row>
    <row r="187" ht="15.75" customHeight="1">
      <c r="A187" s="2" t="s">
        <v>68</v>
      </c>
      <c r="B187" s="3">
        <v>45689.0</v>
      </c>
      <c r="C187" s="2" t="s">
        <v>20</v>
      </c>
      <c r="D187" s="2" t="s">
        <v>18</v>
      </c>
      <c r="E187" s="2">
        <v>57147.88</v>
      </c>
      <c r="F187" s="2">
        <v>5252.0</v>
      </c>
      <c r="G187" s="2">
        <v>0.161</v>
      </c>
      <c r="H187" s="2">
        <v>15.0</v>
      </c>
      <c r="I187" s="2">
        <v>95.5</v>
      </c>
      <c r="J187" s="2">
        <v>8.51</v>
      </c>
      <c r="K187" s="2">
        <v>0.0</v>
      </c>
      <c r="L187" s="2">
        <v>4.4</v>
      </c>
      <c r="M187" s="2">
        <v>678311.17</v>
      </c>
      <c r="N187" s="2">
        <v>132029.76</v>
      </c>
      <c r="O187" s="2">
        <f t="shared" si="1"/>
        <v>0</v>
      </c>
      <c r="P187" s="2">
        <f t="shared" si="2"/>
        <v>1</v>
      </c>
      <c r="Q187" s="2">
        <f t="shared" si="3"/>
        <v>0</v>
      </c>
      <c r="R187" s="2">
        <f t="shared" si="4"/>
        <v>0</v>
      </c>
      <c r="S187" s="2">
        <f t="shared" si="5"/>
        <v>1</v>
      </c>
      <c r="T187" s="2">
        <f t="shared" si="6"/>
        <v>0</v>
      </c>
      <c r="U187" s="2">
        <f t="shared" si="7"/>
        <v>656855.5973</v>
      </c>
      <c r="V187" s="2">
        <f t="shared" si="8"/>
        <v>21455.57266</v>
      </c>
    </row>
    <row r="188" ht="15.75" customHeight="1">
      <c r="A188" s="2" t="s">
        <v>68</v>
      </c>
      <c r="B188" s="3">
        <v>45717.0</v>
      </c>
      <c r="C188" s="2" t="s">
        <v>20</v>
      </c>
      <c r="D188" s="2" t="s">
        <v>18</v>
      </c>
      <c r="E188" s="2">
        <v>48031.74</v>
      </c>
      <c r="F188" s="2">
        <v>6516.0</v>
      </c>
      <c r="G188" s="2">
        <v>0.067</v>
      </c>
      <c r="H188" s="2">
        <v>14.0</v>
      </c>
      <c r="I188" s="2">
        <v>99.0</v>
      </c>
      <c r="J188" s="2">
        <v>0.48</v>
      </c>
      <c r="K188" s="2">
        <v>1.0</v>
      </c>
      <c r="L188" s="2">
        <v>4.3</v>
      </c>
      <c r="M188" s="2">
        <v>765906.95</v>
      </c>
      <c r="N188" s="2">
        <v>114005.9</v>
      </c>
      <c r="O188" s="2">
        <f t="shared" si="1"/>
        <v>0</v>
      </c>
      <c r="P188" s="2">
        <f t="shared" si="2"/>
        <v>1</v>
      </c>
      <c r="Q188" s="2">
        <f t="shared" si="3"/>
        <v>0</v>
      </c>
      <c r="R188" s="2">
        <f t="shared" si="4"/>
        <v>0</v>
      </c>
      <c r="S188" s="2">
        <f t="shared" si="5"/>
        <v>1</v>
      </c>
      <c r="T188" s="2">
        <f t="shared" si="6"/>
        <v>0</v>
      </c>
      <c r="U188" s="2">
        <f t="shared" si="7"/>
        <v>698712.9327</v>
      </c>
      <c r="V188" s="2">
        <f t="shared" si="8"/>
        <v>67194.01728</v>
      </c>
    </row>
    <row r="189" ht="15.75" customHeight="1">
      <c r="A189" s="2" t="s">
        <v>68</v>
      </c>
      <c r="B189" s="3">
        <v>45748.0</v>
      </c>
      <c r="C189" s="2" t="s">
        <v>20</v>
      </c>
      <c r="D189" s="2" t="s">
        <v>18</v>
      </c>
      <c r="E189" s="2">
        <v>72784.8</v>
      </c>
      <c r="F189" s="2">
        <v>7932.0</v>
      </c>
      <c r="G189" s="2">
        <v>0.094</v>
      </c>
      <c r="H189" s="2">
        <v>20.0</v>
      </c>
      <c r="I189" s="2">
        <v>74.9</v>
      </c>
      <c r="J189" s="2">
        <v>13.62</v>
      </c>
      <c r="K189" s="2">
        <v>0.0</v>
      </c>
      <c r="L189" s="2">
        <v>4.2</v>
      </c>
      <c r="M189" s="2">
        <v>712546.38</v>
      </c>
      <c r="N189" s="2">
        <v>101480.04</v>
      </c>
      <c r="O189" s="2">
        <f t="shared" si="1"/>
        <v>0</v>
      </c>
      <c r="P189" s="2">
        <f t="shared" si="2"/>
        <v>1</v>
      </c>
      <c r="Q189" s="2">
        <f t="shared" si="3"/>
        <v>0</v>
      </c>
      <c r="R189" s="2">
        <f t="shared" si="4"/>
        <v>0</v>
      </c>
      <c r="S189" s="2">
        <f t="shared" si="5"/>
        <v>1</v>
      </c>
      <c r="T189" s="2">
        <f t="shared" si="6"/>
        <v>0</v>
      </c>
      <c r="U189" s="2">
        <f t="shared" si="7"/>
        <v>708113.2584</v>
      </c>
      <c r="V189" s="2">
        <f t="shared" si="8"/>
        <v>4433.121632</v>
      </c>
    </row>
    <row r="190" ht="15.75" customHeight="1">
      <c r="A190" s="2" t="s">
        <v>69</v>
      </c>
      <c r="B190" s="3">
        <v>45658.0</v>
      </c>
      <c r="C190" s="2" t="s">
        <v>15</v>
      </c>
      <c r="D190" s="2" t="s">
        <v>18</v>
      </c>
      <c r="E190" s="2">
        <v>71641.9</v>
      </c>
      <c r="F190" s="2">
        <v>3506.0</v>
      </c>
      <c r="G190" s="2">
        <v>0.0</v>
      </c>
      <c r="H190" s="2">
        <v>11.0</v>
      </c>
      <c r="I190" s="2">
        <v>86.4</v>
      </c>
      <c r="J190" s="2">
        <v>7.77</v>
      </c>
      <c r="K190" s="2">
        <v>0.0</v>
      </c>
      <c r="L190" s="2">
        <v>4.1</v>
      </c>
      <c r="M190" s="2">
        <v>625993.83</v>
      </c>
      <c r="N190" s="2">
        <v>98960.32</v>
      </c>
      <c r="O190" s="2">
        <f t="shared" si="1"/>
        <v>1</v>
      </c>
      <c r="P190" s="2">
        <f t="shared" si="2"/>
        <v>0</v>
      </c>
      <c r="Q190" s="2">
        <f t="shared" si="3"/>
        <v>0</v>
      </c>
      <c r="R190" s="2">
        <f t="shared" si="4"/>
        <v>0</v>
      </c>
      <c r="S190" s="2">
        <f t="shared" si="5"/>
        <v>1</v>
      </c>
      <c r="T190" s="2">
        <f t="shared" si="6"/>
        <v>0</v>
      </c>
      <c r="U190" s="2">
        <f t="shared" si="7"/>
        <v>578726.9671</v>
      </c>
      <c r="V190" s="2">
        <f t="shared" si="8"/>
        <v>47266.8629</v>
      </c>
    </row>
    <row r="191" ht="15.75" customHeight="1">
      <c r="A191" s="2" t="s">
        <v>69</v>
      </c>
      <c r="B191" s="3">
        <v>45689.0</v>
      </c>
      <c r="C191" s="2" t="s">
        <v>15</v>
      </c>
      <c r="D191" s="2" t="s">
        <v>18</v>
      </c>
      <c r="E191" s="2">
        <v>55788.61</v>
      </c>
      <c r="F191" s="2">
        <v>2312.0</v>
      </c>
      <c r="G191" s="2">
        <v>0.058</v>
      </c>
      <c r="H191" s="2">
        <v>10.0</v>
      </c>
      <c r="I191" s="2">
        <v>91.3</v>
      </c>
      <c r="J191" s="2">
        <v>1.99</v>
      </c>
      <c r="K191" s="2">
        <v>0.0</v>
      </c>
      <c r="L191" s="2">
        <v>3.8</v>
      </c>
      <c r="M191" s="2">
        <v>550962.93</v>
      </c>
      <c r="N191" s="2">
        <v>97144.58</v>
      </c>
      <c r="O191" s="2">
        <f t="shared" si="1"/>
        <v>1</v>
      </c>
      <c r="P191" s="2">
        <f t="shared" si="2"/>
        <v>0</v>
      </c>
      <c r="Q191" s="2">
        <f t="shared" si="3"/>
        <v>0</v>
      </c>
      <c r="R191" s="2">
        <f t="shared" si="4"/>
        <v>0</v>
      </c>
      <c r="S191" s="2">
        <f t="shared" si="5"/>
        <v>1</v>
      </c>
      <c r="T191" s="2">
        <f t="shared" si="6"/>
        <v>0</v>
      </c>
      <c r="U191" s="2">
        <f t="shared" si="7"/>
        <v>533294.4196</v>
      </c>
      <c r="V191" s="2">
        <f t="shared" si="8"/>
        <v>17668.51036</v>
      </c>
    </row>
    <row r="192" ht="15.75" customHeight="1">
      <c r="A192" s="2" t="s">
        <v>69</v>
      </c>
      <c r="B192" s="3">
        <v>45717.0</v>
      </c>
      <c r="C192" s="2" t="s">
        <v>15</v>
      </c>
      <c r="D192" s="2" t="s">
        <v>18</v>
      </c>
      <c r="E192" s="2">
        <v>37705.88</v>
      </c>
      <c r="F192" s="2">
        <v>1268.0</v>
      </c>
      <c r="G192" s="2">
        <v>0.259</v>
      </c>
      <c r="H192" s="2">
        <v>9.0</v>
      </c>
      <c r="I192" s="2">
        <v>84.1</v>
      </c>
      <c r="J192" s="2">
        <v>4.77</v>
      </c>
      <c r="K192" s="2">
        <v>0.0</v>
      </c>
      <c r="L192" s="2">
        <v>3.8</v>
      </c>
      <c r="M192" s="2">
        <v>443275.59</v>
      </c>
      <c r="N192" s="2">
        <v>53544.36</v>
      </c>
      <c r="O192" s="2">
        <f t="shared" si="1"/>
        <v>1</v>
      </c>
      <c r="P192" s="2">
        <f t="shared" si="2"/>
        <v>0</v>
      </c>
      <c r="Q192" s="2">
        <f t="shared" si="3"/>
        <v>0</v>
      </c>
      <c r="R192" s="2">
        <f t="shared" si="4"/>
        <v>0</v>
      </c>
      <c r="S192" s="2">
        <f t="shared" si="5"/>
        <v>1</v>
      </c>
      <c r="T192" s="2">
        <f t="shared" si="6"/>
        <v>0</v>
      </c>
      <c r="U192" s="2">
        <f t="shared" si="7"/>
        <v>456198.6066</v>
      </c>
      <c r="V192" s="2">
        <f t="shared" si="8"/>
        <v>-12923.01662</v>
      </c>
    </row>
    <row r="193" ht="15.75" customHeight="1">
      <c r="A193" s="2" t="s">
        <v>69</v>
      </c>
      <c r="B193" s="3">
        <v>45748.0</v>
      </c>
      <c r="C193" s="2" t="s">
        <v>15</v>
      </c>
      <c r="D193" s="2" t="s">
        <v>18</v>
      </c>
      <c r="E193" s="2">
        <v>54966.18</v>
      </c>
      <c r="F193" s="2">
        <v>4423.0</v>
      </c>
      <c r="G193" s="2">
        <v>0.186</v>
      </c>
      <c r="H193" s="2">
        <v>13.0</v>
      </c>
      <c r="I193" s="2">
        <v>88.7</v>
      </c>
      <c r="J193" s="2">
        <v>0.2</v>
      </c>
      <c r="K193" s="2">
        <v>0.0</v>
      </c>
      <c r="L193" s="2">
        <v>4.4</v>
      </c>
      <c r="M193" s="2">
        <v>554012.07</v>
      </c>
      <c r="N193" s="2">
        <v>81101.62</v>
      </c>
      <c r="O193" s="2">
        <f t="shared" si="1"/>
        <v>1</v>
      </c>
      <c r="P193" s="2">
        <f t="shared" si="2"/>
        <v>0</v>
      </c>
      <c r="Q193" s="2">
        <f t="shared" si="3"/>
        <v>0</v>
      </c>
      <c r="R193" s="2">
        <f t="shared" si="4"/>
        <v>0</v>
      </c>
      <c r="S193" s="2">
        <f t="shared" si="5"/>
        <v>1</v>
      </c>
      <c r="T193" s="2">
        <f t="shared" si="6"/>
        <v>0</v>
      </c>
      <c r="U193" s="2">
        <f t="shared" si="7"/>
        <v>596484.0596</v>
      </c>
      <c r="V193" s="2">
        <f t="shared" si="8"/>
        <v>-42471.98957</v>
      </c>
    </row>
    <row r="194" ht="15.75" customHeight="1">
      <c r="A194" s="2" t="s">
        <v>70</v>
      </c>
      <c r="B194" s="3">
        <v>45658.0</v>
      </c>
      <c r="C194" s="2" t="s">
        <v>27</v>
      </c>
      <c r="D194" s="2" t="s">
        <v>16</v>
      </c>
      <c r="E194" s="2">
        <v>81796.74</v>
      </c>
      <c r="F194" s="2">
        <v>6177.0</v>
      </c>
      <c r="G194" s="2">
        <v>0.164</v>
      </c>
      <c r="H194" s="2">
        <v>14.0</v>
      </c>
      <c r="I194" s="2">
        <v>87.9</v>
      </c>
      <c r="J194" s="2">
        <v>0.53</v>
      </c>
      <c r="K194" s="2">
        <v>0.0</v>
      </c>
      <c r="L194" s="2">
        <v>3.2</v>
      </c>
      <c r="M194" s="2">
        <v>643428.85</v>
      </c>
      <c r="N194" s="2">
        <v>94477.63</v>
      </c>
      <c r="O194" s="2">
        <f t="shared" si="1"/>
        <v>0</v>
      </c>
      <c r="P194" s="2">
        <f t="shared" si="2"/>
        <v>0</v>
      </c>
      <c r="Q194" s="2">
        <f t="shared" si="3"/>
        <v>0</v>
      </c>
      <c r="R194" s="2">
        <f t="shared" si="4"/>
        <v>0</v>
      </c>
      <c r="S194" s="2">
        <f t="shared" si="5"/>
        <v>0</v>
      </c>
      <c r="T194" s="2">
        <f t="shared" si="6"/>
        <v>0</v>
      </c>
      <c r="U194" s="2">
        <f t="shared" si="7"/>
        <v>702946.6636</v>
      </c>
      <c r="V194" s="2">
        <f t="shared" si="8"/>
        <v>-59517.81362</v>
      </c>
    </row>
    <row r="195" ht="15.75" customHeight="1">
      <c r="A195" s="2" t="s">
        <v>70</v>
      </c>
      <c r="B195" s="3">
        <v>45689.0</v>
      </c>
      <c r="C195" s="2" t="s">
        <v>27</v>
      </c>
      <c r="D195" s="2" t="s">
        <v>16</v>
      </c>
      <c r="E195" s="2">
        <v>51133.43</v>
      </c>
      <c r="F195" s="2">
        <v>5150.0</v>
      </c>
      <c r="G195" s="2">
        <v>0.15</v>
      </c>
      <c r="H195" s="2">
        <v>12.0</v>
      </c>
      <c r="I195" s="2">
        <v>88.5</v>
      </c>
      <c r="J195" s="2">
        <v>1.54</v>
      </c>
      <c r="K195" s="2">
        <v>0.0</v>
      </c>
      <c r="L195" s="2">
        <v>3.2</v>
      </c>
      <c r="M195" s="2">
        <v>611924.27</v>
      </c>
      <c r="N195" s="2">
        <v>115488.75</v>
      </c>
      <c r="O195" s="2">
        <f t="shared" si="1"/>
        <v>0</v>
      </c>
      <c r="P195" s="2">
        <f t="shared" si="2"/>
        <v>0</v>
      </c>
      <c r="Q195" s="2">
        <f t="shared" si="3"/>
        <v>0</v>
      </c>
      <c r="R195" s="2">
        <f t="shared" si="4"/>
        <v>0</v>
      </c>
      <c r="S195" s="2">
        <f t="shared" si="5"/>
        <v>0</v>
      </c>
      <c r="T195" s="2">
        <f t="shared" si="6"/>
        <v>0</v>
      </c>
      <c r="U195" s="2">
        <f t="shared" si="7"/>
        <v>633485.0243</v>
      </c>
      <c r="V195" s="2">
        <f t="shared" si="8"/>
        <v>-21560.75433</v>
      </c>
    </row>
    <row r="196" ht="15.75" customHeight="1">
      <c r="A196" s="2" t="s">
        <v>70</v>
      </c>
      <c r="B196" s="3">
        <v>45717.0</v>
      </c>
      <c r="C196" s="2" t="s">
        <v>27</v>
      </c>
      <c r="D196" s="2" t="s">
        <v>16</v>
      </c>
      <c r="E196" s="2">
        <v>40220.18</v>
      </c>
      <c r="F196" s="2">
        <v>3783.0</v>
      </c>
      <c r="G196" s="2">
        <v>0.089</v>
      </c>
      <c r="H196" s="2">
        <v>14.0</v>
      </c>
      <c r="I196" s="2">
        <v>86.6</v>
      </c>
      <c r="J196" s="2">
        <v>3.63</v>
      </c>
      <c r="K196" s="2">
        <v>0.0</v>
      </c>
      <c r="L196" s="2">
        <v>3.7</v>
      </c>
      <c r="M196" s="2">
        <v>559422.02</v>
      </c>
      <c r="N196" s="2">
        <v>73528.74</v>
      </c>
      <c r="O196" s="2">
        <f t="shared" si="1"/>
        <v>0</v>
      </c>
      <c r="P196" s="2">
        <f t="shared" si="2"/>
        <v>0</v>
      </c>
      <c r="Q196" s="2">
        <f t="shared" si="3"/>
        <v>0</v>
      </c>
      <c r="R196" s="2">
        <f t="shared" si="4"/>
        <v>0</v>
      </c>
      <c r="S196" s="2">
        <f t="shared" si="5"/>
        <v>0</v>
      </c>
      <c r="T196" s="2">
        <f t="shared" si="6"/>
        <v>0</v>
      </c>
      <c r="U196" s="2">
        <f t="shared" si="7"/>
        <v>568890.3062</v>
      </c>
      <c r="V196" s="2">
        <f t="shared" si="8"/>
        <v>-9468.286209</v>
      </c>
    </row>
    <row r="197" ht="15.75" customHeight="1">
      <c r="A197" s="2" t="s">
        <v>70</v>
      </c>
      <c r="B197" s="3">
        <v>45748.0</v>
      </c>
      <c r="C197" s="2" t="s">
        <v>27</v>
      </c>
      <c r="D197" s="2" t="s">
        <v>16</v>
      </c>
      <c r="E197" s="2">
        <v>41657.64</v>
      </c>
      <c r="F197" s="2">
        <v>3135.0</v>
      </c>
      <c r="G197" s="2">
        <v>0.229</v>
      </c>
      <c r="H197" s="2">
        <v>7.0</v>
      </c>
      <c r="I197" s="2">
        <v>85.4</v>
      </c>
      <c r="J197" s="2">
        <v>13.48</v>
      </c>
      <c r="K197" s="2">
        <v>0.0</v>
      </c>
      <c r="L197" s="2"/>
      <c r="M197" s="2">
        <v>449465.06</v>
      </c>
      <c r="N197" s="2">
        <v>65694.78</v>
      </c>
      <c r="O197" s="2">
        <f t="shared" si="1"/>
        <v>0</v>
      </c>
      <c r="P197" s="2">
        <f t="shared" si="2"/>
        <v>0</v>
      </c>
      <c r="Q197" s="2">
        <f t="shared" si="3"/>
        <v>0</v>
      </c>
      <c r="R197" s="2">
        <f t="shared" si="4"/>
        <v>0</v>
      </c>
      <c r="S197" s="2">
        <f t="shared" si="5"/>
        <v>0</v>
      </c>
      <c r="T197" s="2">
        <f t="shared" si="6"/>
        <v>0</v>
      </c>
      <c r="U197" s="2">
        <f t="shared" si="7"/>
        <v>545268.1758</v>
      </c>
      <c r="V197" s="2">
        <f t="shared" si="8"/>
        <v>-95803.11576</v>
      </c>
    </row>
    <row r="198" ht="15.75" customHeight="1">
      <c r="A198" s="2" t="s">
        <v>71</v>
      </c>
      <c r="B198" s="3">
        <v>45658.0</v>
      </c>
      <c r="C198" s="2" t="s">
        <v>20</v>
      </c>
      <c r="D198" s="2" t="s">
        <v>16</v>
      </c>
      <c r="E198" s="2">
        <v>71851.45</v>
      </c>
      <c r="F198" s="2">
        <v>4970.0</v>
      </c>
      <c r="G198" s="2">
        <v>0.098</v>
      </c>
      <c r="H198" s="2">
        <v>11.0</v>
      </c>
      <c r="I198" s="2">
        <v>89.6</v>
      </c>
      <c r="J198" s="2">
        <v>0.2</v>
      </c>
      <c r="K198" s="2">
        <v>0.0</v>
      </c>
      <c r="L198" s="2">
        <v>4.2</v>
      </c>
      <c r="M198" s="2">
        <v>691447.43</v>
      </c>
      <c r="N198" s="2">
        <v>114077.69</v>
      </c>
      <c r="O198" s="2">
        <f t="shared" si="1"/>
        <v>0</v>
      </c>
      <c r="P198" s="2">
        <f t="shared" si="2"/>
        <v>1</v>
      </c>
      <c r="Q198" s="2">
        <f t="shared" si="3"/>
        <v>0</v>
      </c>
      <c r="R198" s="2">
        <f t="shared" si="4"/>
        <v>0</v>
      </c>
      <c r="S198" s="2">
        <f t="shared" si="5"/>
        <v>0</v>
      </c>
      <c r="T198" s="2">
        <f t="shared" si="6"/>
        <v>0</v>
      </c>
      <c r="U198" s="2">
        <f t="shared" si="7"/>
        <v>648119.3589</v>
      </c>
      <c r="V198" s="2">
        <f t="shared" si="8"/>
        <v>43328.07107</v>
      </c>
    </row>
    <row r="199" ht="15.75" customHeight="1">
      <c r="A199" s="2" t="s">
        <v>71</v>
      </c>
      <c r="B199" s="3">
        <v>45689.0</v>
      </c>
      <c r="C199" s="2" t="s">
        <v>20</v>
      </c>
      <c r="D199" s="2" t="s">
        <v>16</v>
      </c>
      <c r="E199" s="2">
        <v>54002.83</v>
      </c>
      <c r="F199" s="2">
        <v>4366.0</v>
      </c>
      <c r="G199" s="2">
        <v>0.027</v>
      </c>
      <c r="H199" s="2">
        <v>15.0</v>
      </c>
      <c r="I199" s="2">
        <v>90.6</v>
      </c>
      <c r="J199" s="2">
        <v>12.82</v>
      </c>
      <c r="K199" s="2">
        <v>0.0</v>
      </c>
      <c r="L199" s="2">
        <v>4.6</v>
      </c>
      <c r="M199" s="2">
        <v>574066.61</v>
      </c>
      <c r="N199" s="2">
        <v>124674.67</v>
      </c>
      <c r="O199" s="2">
        <f t="shared" si="1"/>
        <v>0</v>
      </c>
      <c r="P199" s="2">
        <f t="shared" si="2"/>
        <v>1</v>
      </c>
      <c r="Q199" s="2">
        <f t="shared" si="3"/>
        <v>0</v>
      </c>
      <c r="R199" s="2">
        <f t="shared" si="4"/>
        <v>0</v>
      </c>
      <c r="S199" s="2">
        <f t="shared" si="5"/>
        <v>0</v>
      </c>
      <c r="T199" s="2">
        <f t="shared" si="6"/>
        <v>0</v>
      </c>
      <c r="U199" s="2">
        <f t="shared" si="7"/>
        <v>609310.7538</v>
      </c>
      <c r="V199" s="2">
        <f t="shared" si="8"/>
        <v>-35244.14383</v>
      </c>
    </row>
    <row r="200" ht="15.75" customHeight="1">
      <c r="A200" s="2" t="s">
        <v>71</v>
      </c>
      <c r="B200" s="3">
        <v>45717.0</v>
      </c>
      <c r="C200" s="2" t="s">
        <v>20</v>
      </c>
      <c r="D200" s="2" t="s">
        <v>16</v>
      </c>
      <c r="E200" s="2">
        <v>54479.33</v>
      </c>
      <c r="F200" s="2">
        <v>5012.0</v>
      </c>
      <c r="G200" s="2">
        <v>0.284</v>
      </c>
      <c r="H200" s="2">
        <v>13.0</v>
      </c>
      <c r="I200" s="2">
        <v>86.0</v>
      </c>
      <c r="J200" s="2">
        <v>2.24</v>
      </c>
      <c r="K200" s="2">
        <v>1.0</v>
      </c>
      <c r="L200" s="2">
        <v>4.3</v>
      </c>
      <c r="M200" s="2">
        <v>578949.84</v>
      </c>
      <c r="N200" s="2">
        <v>80253.65</v>
      </c>
      <c r="O200" s="2">
        <f t="shared" si="1"/>
        <v>0</v>
      </c>
      <c r="P200" s="2">
        <f t="shared" si="2"/>
        <v>1</v>
      </c>
      <c r="Q200" s="2">
        <f t="shared" si="3"/>
        <v>0</v>
      </c>
      <c r="R200" s="2">
        <f t="shared" si="4"/>
        <v>0</v>
      </c>
      <c r="S200" s="2">
        <f t="shared" si="5"/>
        <v>0</v>
      </c>
      <c r="T200" s="2">
        <f t="shared" si="6"/>
        <v>0</v>
      </c>
      <c r="U200" s="2">
        <f t="shared" si="7"/>
        <v>618790.5501</v>
      </c>
      <c r="V200" s="2">
        <f t="shared" si="8"/>
        <v>-39840.71007</v>
      </c>
    </row>
    <row r="201" ht="15.75" customHeight="1">
      <c r="A201" s="2" t="s">
        <v>71</v>
      </c>
      <c r="B201" s="3">
        <v>45748.0</v>
      </c>
      <c r="C201" s="2" t="s">
        <v>20</v>
      </c>
      <c r="D201" s="2" t="s">
        <v>16</v>
      </c>
      <c r="E201" s="2">
        <v>61391.8</v>
      </c>
      <c r="F201" s="2">
        <v>5575.0</v>
      </c>
      <c r="G201" s="2">
        <v>0.189</v>
      </c>
      <c r="H201" s="2">
        <v>18.0</v>
      </c>
      <c r="I201" s="2">
        <v>90.0</v>
      </c>
      <c r="J201" s="2">
        <v>1.8</v>
      </c>
      <c r="K201" s="2">
        <v>0.0</v>
      </c>
      <c r="L201" s="2">
        <v>4.8</v>
      </c>
      <c r="M201" s="2">
        <v>735786.64</v>
      </c>
      <c r="N201" s="2">
        <v>126540.66</v>
      </c>
      <c r="O201" s="2">
        <f t="shared" si="1"/>
        <v>0</v>
      </c>
      <c r="P201" s="2">
        <f t="shared" si="2"/>
        <v>1</v>
      </c>
      <c r="Q201" s="2">
        <f t="shared" si="3"/>
        <v>0</v>
      </c>
      <c r="R201" s="2">
        <f t="shared" si="4"/>
        <v>0</v>
      </c>
      <c r="S201" s="2">
        <f t="shared" si="5"/>
        <v>0</v>
      </c>
      <c r="T201" s="2">
        <f t="shared" si="6"/>
        <v>0</v>
      </c>
      <c r="U201" s="2">
        <f t="shared" si="7"/>
        <v>657329.005</v>
      </c>
      <c r="V201" s="2">
        <f t="shared" si="8"/>
        <v>78457.63501</v>
      </c>
    </row>
    <row r="202" ht="15.75" customHeight="1">
      <c r="A202" s="2" t="s">
        <v>72</v>
      </c>
      <c r="B202" s="3">
        <v>45658.0</v>
      </c>
      <c r="C202" s="2" t="s">
        <v>15</v>
      </c>
      <c r="D202" s="2" t="s">
        <v>21</v>
      </c>
      <c r="E202" s="2">
        <v>22312.93</v>
      </c>
      <c r="F202" s="2">
        <v>5955.0</v>
      </c>
      <c r="G202" s="2">
        <v>0.123</v>
      </c>
      <c r="H202" s="2">
        <v>13.0</v>
      </c>
      <c r="I202" s="2">
        <v>84.2</v>
      </c>
      <c r="J202" s="2">
        <v>0.41</v>
      </c>
      <c r="K202" s="2">
        <v>1.0</v>
      </c>
      <c r="L202" s="2">
        <v>4.6</v>
      </c>
      <c r="M202" s="2">
        <v>598904.9</v>
      </c>
      <c r="N202" s="2">
        <v>72861.0</v>
      </c>
      <c r="O202" s="2">
        <f t="shared" si="1"/>
        <v>1</v>
      </c>
      <c r="P202" s="2">
        <f t="shared" si="2"/>
        <v>0</v>
      </c>
      <c r="Q202" s="2">
        <f t="shared" si="3"/>
        <v>0</v>
      </c>
      <c r="R202" s="2">
        <f t="shared" si="4"/>
        <v>1</v>
      </c>
      <c r="S202" s="2">
        <f t="shared" si="5"/>
        <v>0</v>
      </c>
      <c r="T202" s="2">
        <f t="shared" si="6"/>
        <v>0</v>
      </c>
      <c r="U202" s="2">
        <f t="shared" si="7"/>
        <v>596954.1985</v>
      </c>
      <c r="V202" s="2">
        <f t="shared" si="8"/>
        <v>1950.701451</v>
      </c>
    </row>
    <row r="203" ht="15.75" customHeight="1">
      <c r="A203" s="2" t="s">
        <v>72</v>
      </c>
      <c r="B203" s="3">
        <v>45689.0</v>
      </c>
      <c r="C203" s="2" t="s">
        <v>15</v>
      </c>
      <c r="D203" s="2" t="s">
        <v>21</v>
      </c>
      <c r="E203" s="2">
        <v>78111.97</v>
      </c>
      <c r="F203" s="2">
        <v>6389.0</v>
      </c>
      <c r="G203" s="2">
        <v>0.15</v>
      </c>
      <c r="H203" s="2">
        <v>13.0</v>
      </c>
      <c r="I203" s="2">
        <v>83.9</v>
      </c>
      <c r="J203" s="2">
        <v>3.05</v>
      </c>
      <c r="K203" s="2">
        <v>0.0</v>
      </c>
      <c r="L203" s="2">
        <v>4.8</v>
      </c>
      <c r="M203" s="2">
        <v>787715.51</v>
      </c>
      <c r="N203" s="2">
        <v>128969.62</v>
      </c>
      <c r="O203" s="2">
        <f t="shared" si="1"/>
        <v>1</v>
      </c>
      <c r="P203" s="2">
        <f t="shared" si="2"/>
        <v>0</v>
      </c>
      <c r="Q203" s="2">
        <f t="shared" si="3"/>
        <v>0</v>
      </c>
      <c r="R203" s="2">
        <f t="shared" si="4"/>
        <v>1</v>
      </c>
      <c r="S203" s="2">
        <f t="shared" si="5"/>
        <v>0</v>
      </c>
      <c r="T203" s="2">
        <f t="shared" si="6"/>
        <v>0</v>
      </c>
      <c r="U203" s="2">
        <f t="shared" si="7"/>
        <v>676993.4248</v>
      </c>
      <c r="V203" s="2">
        <f t="shared" si="8"/>
        <v>110722.0852</v>
      </c>
    </row>
    <row r="204" ht="15.75" customHeight="1">
      <c r="A204" s="2" t="s">
        <v>72</v>
      </c>
      <c r="B204" s="3">
        <v>45717.0</v>
      </c>
      <c r="C204" s="2" t="s">
        <v>15</v>
      </c>
      <c r="D204" s="2" t="s">
        <v>21</v>
      </c>
      <c r="E204" s="2">
        <v>35203.23</v>
      </c>
      <c r="F204" s="2">
        <v>6896.0</v>
      </c>
      <c r="G204" s="2">
        <v>0.032</v>
      </c>
      <c r="H204" s="2">
        <v>14.0</v>
      </c>
      <c r="I204" s="2">
        <v>80.8</v>
      </c>
      <c r="J204" s="2">
        <v>8.44</v>
      </c>
      <c r="K204" s="2">
        <v>1.0</v>
      </c>
      <c r="L204" s="2">
        <v>5.0</v>
      </c>
      <c r="M204" s="2">
        <v>607084.92</v>
      </c>
      <c r="N204" s="2">
        <v>98558.49</v>
      </c>
      <c r="O204" s="2">
        <f t="shared" si="1"/>
        <v>1</v>
      </c>
      <c r="P204" s="2">
        <f t="shared" si="2"/>
        <v>0</v>
      </c>
      <c r="Q204" s="2">
        <f t="shared" si="3"/>
        <v>0</v>
      </c>
      <c r="R204" s="2">
        <f t="shared" si="4"/>
        <v>1</v>
      </c>
      <c r="S204" s="2">
        <f t="shared" si="5"/>
        <v>0</v>
      </c>
      <c r="T204" s="2">
        <f t="shared" si="6"/>
        <v>0</v>
      </c>
      <c r="U204" s="2">
        <f t="shared" si="7"/>
        <v>634531.0613</v>
      </c>
      <c r="V204" s="2">
        <f t="shared" si="8"/>
        <v>-27446.1413</v>
      </c>
    </row>
    <row r="205" ht="15.75" customHeight="1">
      <c r="A205" s="2" t="s">
        <v>72</v>
      </c>
      <c r="B205" s="3">
        <v>45748.0</v>
      </c>
      <c r="C205" s="2" t="s">
        <v>15</v>
      </c>
      <c r="D205" s="2" t="s">
        <v>21</v>
      </c>
      <c r="E205" s="2">
        <v>64104.28</v>
      </c>
      <c r="F205" s="2">
        <v>6015.0</v>
      </c>
      <c r="G205" s="2">
        <v>0.127</v>
      </c>
      <c r="H205" s="2">
        <v>15.0</v>
      </c>
      <c r="I205" s="2">
        <v>88.7</v>
      </c>
      <c r="J205" s="2">
        <v>0.78</v>
      </c>
      <c r="K205" s="2">
        <v>0.0</v>
      </c>
      <c r="L205" s="2">
        <v>4.0</v>
      </c>
      <c r="M205" s="2">
        <v>650795.49</v>
      </c>
      <c r="N205" s="2">
        <v>103035.89</v>
      </c>
      <c r="O205" s="2">
        <f t="shared" si="1"/>
        <v>1</v>
      </c>
      <c r="P205" s="2">
        <f t="shared" si="2"/>
        <v>0</v>
      </c>
      <c r="Q205" s="2">
        <f t="shared" si="3"/>
        <v>0</v>
      </c>
      <c r="R205" s="2">
        <f t="shared" si="4"/>
        <v>1</v>
      </c>
      <c r="S205" s="2">
        <f t="shared" si="5"/>
        <v>0</v>
      </c>
      <c r="T205" s="2">
        <f t="shared" si="6"/>
        <v>0</v>
      </c>
      <c r="U205" s="2">
        <f t="shared" si="7"/>
        <v>661238.7763</v>
      </c>
      <c r="V205" s="2">
        <f t="shared" si="8"/>
        <v>-10443.28626</v>
      </c>
    </row>
    <row r="206" ht="15.75" customHeight="1">
      <c r="A206" s="2" t="s">
        <v>73</v>
      </c>
      <c r="B206" s="3">
        <v>45658.0</v>
      </c>
      <c r="C206" s="2" t="s">
        <v>15</v>
      </c>
      <c r="D206" s="2" t="s">
        <v>28</v>
      </c>
      <c r="E206" s="2">
        <v>92090.14</v>
      </c>
      <c r="F206" s="2">
        <v>9476.0</v>
      </c>
      <c r="G206" s="2">
        <v>0.07</v>
      </c>
      <c r="H206" s="2">
        <v>24.0</v>
      </c>
      <c r="I206" s="2">
        <v>94.3</v>
      </c>
      <c r="J206" s="2">
        <v>0.87</v>
      </c>
      <c r="K206" s="2">
        <v>0.0</v>
      </c>
      <c r="L206" s="2">
        <v>3.7</v>
      </c>
      <c r="M206" s="2">
        <v>825060.52</v>
      </c>
      <c r="N206" s="2">
        <v>143613.15</v>
      </c>
      <c r="O206" s="2">
        <f t="shared" si="1"/>
        <v>1</v>
      </c>
      <c r="P206" s="2">
        <f t="shared" si="2"/>
        <v>0</v>
      </c>
      <c r="Q206" s="2">
        <f t="shared" si="3"/>
        <v>0</v>
      </c>
      <c r="R206" s="2">
        <f t="shared" si="4"/>
        <v>0</v>
      </c>
      <c r="S206" s="2">
        <f t="shared" si="5"/>
        <v>0</v>
      </c>
      <c r="T206" s="2">
        <f t="shared" si="6"/>
        <v>1</v>
      </c>
      <c r="U206" s="2">
        <f t="shared" si="7"/>
        <v>827427.6885</v>
      </c>
      <c r="V206" s="2">
        <f t="shared" si="8"/>
        <v>-2367.168462</v>
      </c>
    </row>
    <row r="207" ht="15.75" customHeight="1">
      <c r="A207" s="2" t="s">
        <v>73</v>
      </c>
      <c r="B207" s="3">
        <v>45689.0</v>
      </c>
      <c r="C207" s="2" t="s">
        <v>15</v>
      </c>
      <c r="D207" s="2" t="s">
        <v>28</v>
      </c>
      <c r="E207" s="2">
        <v>54300.87</v>
      </c>
      <c r="F207" s="2">
        <v>7875.0</v>
      </c>
      <c r="G207" s="2">
        <v>0.107</v>
      </c>
      <c r="H207" s="2">
        <v>19.0</v>
      </c>
      <c r="I207" s="2">
        <v>94.1</v>
      </c>
      <c r="J207" s="2">
        <v>0.95</v>
      </c>
      <c r="K207" s="2">
        <v>0.0</v>
      </c>
      <c r="L207" s="2">
        <v>3.7</v>
      </c>
      <c r="M207" s="2">
        <v>795464.47</v>
      </c>
      <c r="N207" s="2">
        <v>161150.52</v>
      </c>
      <c r="O207" s="2">
        <f t="shared" si="1"/>
        <v>1</v>
      </c>
      <c r="P207" s="2">
        <f t="shared" si="2"/>
        <v>0</v>
      </c>
      <c r="Q207" s="2">
        <f t="shared" si="3"/>
        <v>0</v>
      </c>
      <c r="R207" s="2">
        <f t="shared" si="4"/>
        <v>0</v>
      </c>
      <c r="S207" s="2">
        <f t="shared" si="5"/>
        <v>0</v>
      </c>
      <c r="T207" s="2">
        <f t="shared" si="6"/>
        <v>1</v>
      </c>
      <c r="U207" s="2">
        <f t="shared" si="7"/>
        <v>727819.6855</v>
      </c>
      <c r="V207" s="2">
        <f t="shared" si="8"/>
        <v>67644.78454</v>
      </c>
    </row>
    <row r="208" ht="15.75" customHeight="1">
      <c r="A208" s="2" t="s">
        <v>73</v>
      </c>
      <c r="B208" s="3">
        <v>45717.0</v>
      </c>
      <c r="C208" s="2" t="s">
        <v>15</v>
      </c>
      <c r="D208" s="2" t="s">
        <v>28</v>
      </c>
      <c r="E208" s="2">
        <v>37983.35</v>
      </c>
      <c r="F208" s="2">
        <v>9283.0</v>
      </c>
      <c r="G208" s="2">
        <v>0.149</v>
      </c>
      <c r="H208" s="2">
        <v>19.0</v>
      </c>
      <c r="I208" s="2">
        <v>83.2</v>
      </c>
      <c r="J208" s="2">
        <v>3.82</v>
      </c>
      <c r="K208" s="2">
        <v>0.0</v>
      </c>
      <c r="L208" s="2">
        <v>3.7</v>
      </c>
      <c r="M208" s="2">
        <v>671868.59</v>
      </c>
      <c r="N208" s="2">
        <v>71003.28</v>
      </c>
      <c r="O208" s="2">
        <f t="shared" si="1"/>
        <v>1</v>
      </c>
      <c r="P208" s="2">
        <f t="shared" si="2"/>
        <v>0</v>
      </c>
      <c r="Q208" s="2">
        <f t="shared" si="3"/>
        <v>0</v>
      </c>
      <c r="R208" s="2">
        <f t="shared" si="4"/>
        <v>0</v>
      </c>
      <c r="S208" s="2">
        <f t="shared" si="5"/>
        <v>0</v>
      </c>
      <c r="T208" s="2">
        <f t="shared" si="6"/>
        <v>1</v>
      </c>
      <c r="U208" s="2">
        <f t="shared" si="7"/>
        <v>725431.4559</v>
      </c>
      <c r="V208" s="2">
        <f t="shared" si="8"/>
        <v>-53562.86594</v>
      </c>
    </row>
    <row r="209" ht="15.75" customHeight="1">
      <c r="A209" s="2" t="s">
        <v>73</v>
      </c>
      <c r="B209" s="3">
        <v>45748.0</v>
      </c>
      <c r="C209" s="2" t="s">
        <v>15</v>
      </c>
      <c r="D209" s="2" t="s">
        <v>28</v>
      </c>
      <c r="E209" s="2">
        <v>56413.83</v>
      </c>
      <c r="F209" s="2">
        <v>8303.0</v>
      </c>
      <c r="G209" s="2">
        <v>0.116</v>
      </c>
      <c r="H209" s="2">
        <v>18.0</v>
      </c>
      <c r="I209" s="2">
        <v>93.6</v>
      </c>
      <c r="J209" s="2">
        <v>2.7</v>
      </c>
      <c r="K209" s="2">
        <v>0.0</v>
      </c>
      <c r="L209" s="2">
        <v>3.7</v>
      </c>
      <c r="M209" s="2">
        <v>675917.63</v>
      </c>
      <c r="N209" s="2">
        <v>112564.75</v>
      </c>
      <c r="O209" s="2">
        <f t="shared" si="1"/>
        <v>1</v>
      </c>
      <c r="P209" s="2">
        <f t="shared" si="2"/>
        <v>0</v>
      </c>
      <c r="Q209" s="2">
        <f t="shared" si="3"/>
        <v>0</v>
      </c>
      <c r="R209" s="2">
        <f t="shared" si="4"/>
        <v>0</v>
      </c>
      <c r="S209" s="2">
        <f t="shared" si="5"/>
        <v>0</v>
      </c>
      <c r="T209" s="2">
        <f t="shared" si="6"/>
        <v>1</v>
      </c>
      <c r="U209" s="2">
        <f t="shared" si="7"/>
        <v>743411.8161</v>
      </c>
      <c r="V209" s="2">
        <f t="shared" si="8"/>
        <v>-67494.18609</v>
      </c>
    </row>
    <row r="210" ht="15.75" customHeight="1">
      <c r="A210" s="2" t="s">
        <v>74</v>
      </c>
      <c r="B210" s="3">
        <v>45658.0</v>
      </c>
      <c r="C210" s="2" t="s">
        <v>15</v>
      </c>
      <c r="D210" s="2" t="s">
        <v>18</v>
      </c>
      <c r="E210" s="2">
        <v>63457.19</v>
      </c>
      <c r="F210" s="2">
        <v>10125.0</v>
      </c>
      <c r="G210" s="2">
        <v>0.097</v>
      </c>
      <c r="H210" s="2">
        <v>24.0</v>
      </c>
      <c r="I210" s="2">
        <v>87.0</v>
      </c>
      <c r="J210" s="2">
        <v>3.84</v>
      </c>
      <c r="K210" s="2">
        <v>1.0</v>
      </c>
      <c r="L210" s="2">
        <v>3.7</v>
      </c>
      <c r="M210" s="2">
        <v>810446.53</v>
      </c>
      <c r="N210" s="2">
        <v>200575.34</v>
      </c>
      <c r="O210" s="2">
        <f t="shared" si="1"/>
        <v>1</v>
      </c>
      <c r="P210" s="2">
        <f t="shared" si="2"/>
        <v>0</v>
      </c>
      <c r="Q210" s="2">
        <f t="shared" si="3"/>
        <v>0</v>
      </c>
      <c r="R210" s="2">
        <f t="shared" si="4"/>
        <v>0</v>
      </c>
      <c r="S210" s="2">
        <f t="shared" si="5"/>
        <v>1</v>
      </c>
      <c r="T210" s="2">
        <f t="shared" si="6"/>
        <v>0</v>
      </c>
      <c r="U210" s="2">
        <f t="shared" si="7"/>
        <v>794871.803</v>
      </c>
      <c r="V210" s="2">
        <f t="shared" si="8"/>
        <v>15574.72701</v>
      </c>
    </row>
    <row r="211" ht="15.75" customHeight="1">
      <c r="A211" s="2" t="s">
        <v>74</v>
      </c>
      <c r="B211" s="3">
        <v>45689.0</v>
      </c>
      <c r="C211" s="2" t="s">
        <v>15</v>
      </c>
      <c r="D211" s="2" t="s">
        <v>18</v>
      </c>
      <c r="E211" s="2">
        <v>62949.7</v>
      </c>
      <c r="F211" s="2">
        <v>9458.0</v>
      </c>
      <c r="G211" s="2">
        <v>0.171</v>
      </c>
      <c r="H211" s="2">
        <v>19.0</v>
      </c>
      <c r="I211" s="2">
        <v>84.9</v>
      </c>
      <c r="J211" s="2">
        <v>5.09</v>
      </c>
      <c r="K211" s="2">
        <v>0.0</v>
      </c>
      <c r="L211" s="2">
        <v>3.3</v>
      </c>
      <c r="M211" s="2">
        <v>691288.19</v>
      </c>
      <c r="N211" s="2">
        <v>159074.14</v>
      </c>
      <c r="O211" s="2">
        <f t="shared" si="1"/>
        <v>1</v>
      </c>
      <c r="P211" s="2">
        <f t="shared" si="2"/>
        <v>0</v>
      </c>
      <c r="Q211" s="2">
        <f t="shared" si="3"/>
        <v>0</v>
      </c>
      <c r="R211" s="2">
        <f t="shared" si="4"/>
        <v>0</v>
      </c>
      <c r="S211" s="2">
        <f t="shared" si="5"/>
        <v>1</v>
      </c>
      <c r="T211" s="2">
        <f t="shared" si="6"/>
        <v>0</v>
      </c>
      <c r="U211" s="2">
        <f t="shared" si="7"/>
        <v>765762.9152</v>
      </c>
      <c r="V211" s="2">
        <f t="shared" si="8"/>
        <v>-74474.72515</v>
      </c>
    </row>
    <row r="212" ht="15.75" customHeight="1">
      <c r="A212" s="2" t="s">
        <v>74</v>
      </c>
      <c r="B212" s="3">
        <v>45717.0</v>
      </c>
      <c r="C212" s="2" t="s">
        <v>15</v>
      </c>
      <c r="D212" s="2" t="s">
        <v>18</v>
      </c>
      <c r="E212" s="2">
        <v>107970.19</v>
      </c>
      <c r="F212" s="2">
        <v>12870.0</v>
      </c>
      <c r="G212" s="2">
        <v>0.029</v>
      </c>
      <c r="H212" s="2">
        <v>31.0</v>
      </c>
      <c r="I212" s="2">
        <v>91.7</v>
      </c>
      <c r="J212" s="2">
        <v>3.82</v>
      </c>
      <c r="K212" s="2">
        <v>1.0</v>
      </c>
      <c r="L212" s="2">
        <v>3.7</v>
      </c>
      <c r="M212" s="2">
        <v>946833.54</v>
      </c>
      <c r="N212" s="2">
        <v>184540.31</v>
      </c>
      <c r="O212" s="2">
        <f t="shared" si="1"/>
        <v>1</v>
      </c>
      <c r="P212" s="2">
        <f t="shared" si="2"/>
        <v>0</v>
      </c>
      <c r="Q212" s="2">
        <f t="shared" si="3"/>
        <v>0</v>
      </c>
      <c r="R212" s="2">
        <f t="shared" si="4"/>
        <v>0</v>
      </c>
      <c r="S212" s="2">
        <f t="shared" si="5"/>
        <v>1</v>
      </c>
      <c r="T212" s="2">
        <f t="shared" si="6"/>
        <v>0</v>
      </c>
      <c r="U212" s="2">
        <f t="shared" si="7"/>
        <v>953879.8616</v>
      </c>
      <c r="V212" s="2">
        <f t="shared" si="8"/>
        <v>-7046.32157</v>
      </c>
    </row>
    <row r="213" ht="15.75" customHeight="1">
      <c r="A213" s="2" t="s">
        <v>74</v>
      </c>
      <c r="B213" s="3">
        <v>45748.0</v>
      </c>
      <c r="C213" s="2" t="s">
        <v>15</v>
      </c>
      <c r="D213" s="2" t="s">
        <v>18</v>
      </c>
      <c r="E213" s="2">
        <v>49405.75</v>
      </c>
      <c r="F213" s="2">
        <v>9752.0</v>
      </c>
      <c r="G213" s="2">
        <v>0.093</v>
      </c>
      <c r="H213" s="2">
        <v>21.0</v>
      </c>
      <c r="I213" s="2">
        <v>87.0</v>
      </c>
      <c r="J213" s="2">
        <v>12.28</v>
      </c>
      <c r="K213" s="2">
        <v>0.0</v>
      </c>
      <c r="L213" s="2">
        <v>4.1</v>
      </c>
      <c r="M213" s="2">
        <v>761963.23</v>
      </c>
      <c r="N213" s="2">
        <v>150113.61</v>
      </c>
      <c r="O213" s="2">
        <f t="shared" si="1"/>
        <v>1</v>
      </c>
      <c r="P213" s="2">
        <f t="shared" si="2"/>
        <v>0</v>
      </c>
      <c r="Q213" s="2">
        <f t="shared" si="3"/>
        <v>0</v>
      </c>
      <c r="R213" s="2">
        <f t="shared" si="4"/>
        <v>0</v>
      </c>
      <c r="S213" s="2">
        <f t="shared" si="5"/>
        <v>1</v>
      </c>
      <c r="T213" s="2">
        <f t="shared" si="6"/>
        <v>0</v>
      </c>
      <c r="U213" s="2">
        <f t="shared" si="7"/>
        <v>765572.3424</v>
      </c>
      <c r="V213" s="2">
        <f t="shared" si="8"/>
        <v>-3609.11242</v>
      </c>
    </row>
    <row r="214" ht="15.75" customHeight="1">
      <c r="A214" s="2" t="s">
        <v>75</v>
      </c>
      <c r="B214" s="3">
        <v>45658.0</v>
      </c>
      <c r="C214" s="2" t="s">
        <v>27</v>
      </c>
      <c r="D214" s="2" t="s">
        <v>16</v>
      </c>
      <c r="E214" s="2">
        <v>50887.46</v>
      </c>
      <c r="F214" s="2">
        <v>9505.0</v>
      </c>
      <c r="G214" s="2">
        <v>0.091</v>
      </c>
      <c r="H214" s="2">
        <v>25.0</v>
      </c>
      <c r="I214" s="2">
        <v>89.7</v>
      </c>
      <c r="J214" s="2">
        <v>2.8</v>
      </c>
      <c r="K214" s="2">
        <v>0.0</v>
      </c>
      <c r="L214" s="2">
        <v>4.3</v>
      </c>
      <c r="M214" s="2">
        <v>812152.6</v>
      </c>
      <c r="N214" s="2">
        <v>138419.43</v>
      </c>
      <c r="O214" s="2">
        <f t="shared" si="1"/>
        <v>0</v>
      </c>
      <c r="P214" s="2">
        <f t="shared" si="2"/>
        <v>0</v>
      </c>
      <c r="Q214" s="2">
        <f t="shared" si="3"/>
        <v>0</v>
      </c>
      <c r="R214" s="2">
        <f t="shared" si="4"/>
        <v>0</v>
      </c>
      <c r="S214" s="2">
        <f t="shared" si="5"/>
        <v>0</v>
      </c>
      <c r="T214" s="2">
        <f t="shared" si="6"/>
        <v>0</v>
      </c>
      <c r="U214" s="2">
        <f t="shared" si="7"/>
        <v>784063.5681</v>
      </c>
      <c r="V214" s="2">
        <f t="shared" si="8"/>
        <v>28089.03195</v>
      </c>
    </row>
    <row r="215" ht="15.75" customHeight="1">
      <c r="A215" s="2" t="s">
        <v>75</v>
      </c>
      <c r="B215" s="3">
        <v>45689.0</v>
      </c>
      <c r="C215" s="2" t="s">
        <v>27</v>
      </c>
      <c r="D215" s="2" t="s">
        <v>16</v>
      </c>
      <c r="E215" s="2">
        <v>41819.45</v>
      </c>
      <c r="F215" s="2">
        <v>9412.0</v>
      </c>
      <c r="G215" s="2">
        <v>0.15</v>
      </c>
      <c r="H215" s="2">
        <v>22.0</v>
      </c>
      <c r="I215" s="2">
        <v>91.0</v>
      </c>
      <c r="J215" s="2">
        <v>3.67</v>
      </c>
      <c r="K215" s="2">
        <v>0.0</v>
      </c>
      <c r="L215" s="2">
        <v>4.2</v>
      </c>
      <c r="M215" s="2">
        <v>804975.5</v>
      </c>
      <c r="N215" s="2">
        <v>140054.5</v>
      </c>
      <c r="O215" s="2">
        <f t="shared" si="1"/>
        <v>0</v>
      </c>
      <c r="P215" s="2">
        <f t="shared" si="2"/>
        <v>0</v>
      </c>
      <c r="Q215" s="2">
        <f t="shared" si="3"/>
        <v>0</v>
      </c>
      <c r="R215" s="2">
        <f t="shared" si="4"/>
        <v>0</v>
      </c>
      <c r="S215" s="2">
        <f t="shared" si="5"/>
        <v>0</v>
      </c>
      <c r="T215" s="2">
        <f t="shared" si="6"/>
        <v>0</v>
      </c>
      <c r="U215" s="2">
        <f t="shared" si="7"/>
        <v>773821.3768</v>
      </c>
      <c r="V215" s="2">
        <f t="shared" si="8"/>
        <v>31154.12319</v>
      </c>
    </row>
    <row r="216" ht="15.75" customHeight="1">
      <c r="A216" s="2" t="s">
        <v>75</v>
      </c>
      <c r="B216" s="3">
        <v>45717.0</v>
      </c>
      <c r="C216" s="2" t="s">
        <v>27</v>
      </c>
      <c r="D216" s="2" t="s">
        <v>16</v>
      </c>
      <c r="E216" s="2">
        <v>35296.54</v>
      </c>
      <c r="F216" s="2">
        <v>9644.0</v>
      </c>
      <c r="G216" s="2">
        <v>0.0</v>
      </c>
      <c r="H216" s="2">
        <v>22.0</v>
      </c>
      <c r="I216" s="2">
        <v>88.0</v>
      </c>
      <c r="J216" s="2">
        <v>2.81</v>
      </c>
      <c r="K216" s="2">
        <v>0.0</v>
      </c>
      <c r="L216" s="2">
        <v>4.7</v>
      </c>
      <c r="M216" s="2">
        <v>752321.72</v>
      </c>
      <c r="N216" s="2">
        <v>137788.51</v>
      </c>
      <c r="O216" s="2">
        <f t="shared" si="1"/>
        <v>0</v>
      </c>
      <c r="P216" s="2">
        <f t="shared" si="2"/>
        <v>0</v>
      </c>
      <c r="Q216" s="2">
        <f t="shared" si="3"/>
        <v>0</v>
      </c>
      <c r="R216" s="2">
        <f t="shared" si="4"/>
        <v>0</v>
      </c>
      <c r="S216" s="2">
        <f t="shared" si="5"/>
        <v>0</v>
      </c>
      <c r="T216" s="2">
        <f t="shared" si="6"/>
        <v>0</v>
      </c>
      <c r="U216" s="2">
        <f t="shared" si="7"/>
        <v>765486.9499</v>
      </c>
      <c r="V216" s="2">
        <f t="shared" si="8"/>
        <v>-13165.22989</v>
      </c>
    </row>
    <row r="217" ht="15.75" customHeight="1">
      <c r="A217" s="2" t="s">
        <v>75</v>
      </c>
      <c r="B217" s="3">
        <v>45748.0</v>
      </c>
      <c r="C217" s="2" t="s">
        <v>27</v>
      </c>
      <c r="D217" s="2" t="s">
        <v>16</v>
      </c>
      <c r="E217" s="2">
        <v>47391.09</v>
      </c>
      <c r="F217" s="2">
        <v>11224.0</v>
      </c>
      <c r="G217" s="2">
        <v>0.147</v>
      </c>
      <c r="H217" s="2">
        <v>25.0</v>
      </c>
      <c r="I217" s="2">
        <v>88.4</v>
      </c>
      <c r="J217" s="2">
        <v>2.44</v>
      </c>
      <c r="K217" s="2">
        <v>0.0</v>
      </c>
      <c r="L217" s="2">
        <v>4.9</v>
      </c>
      <c r="M217" s="2">
        <v>836908.24</v>
      </c>
      <c r="N217" s="2">
        <v>141090.26</v>
      </c>
      <c r="O217" s="2">
        <f t="shared" si="1"/>
        <v>0</v>
      </c>
      <c r="P217" s="2">
        <f t="shared" si="2"/>
        <v>0</v>
      </c>
      <c r="Q217" s="2">
        <f t="shared" si="3"/>
        <v>0</v>
      </c>
      <c r="R217" s="2">
        <f t="shared" si="4"/>
        <v>0</v>
      </c>
      <c r="S217" s="2">
        <f t="shared" si="5"/>
        <v>0</v>
      </c>
      <c r="T217" s="2">
        <f t="shared" si="6"/>
        <v>0</v>
      </c>
      <c r="U217" s="2">
        <f t="shared" si="7"/>
        <v>834469.3233</v>
      </c>
      <c r="V217" s="2">
        <f t="shared" si="8"/>
        <v>2438.916686</v>
      </c>
    </row>
    <row r="218" ht="15.75" customHeight="1">
      <c r="A218" s="2" t="s">
        <v>76</v>
      </c>
      <c r="B218" s="3">
        <v>45658.0</v>
      </c>
      <c r="C218" s="2" t="s">
        <v>20</v>
      </c>
      <c r="D218" s="2" t="s">
        <v>21</v>
      </c>
      <c r="E218" s="2">
        <v>69180.54</v>
      </c>
      <c r="F218" s="2">
        <v>5394.0</v>
      </c>
      <c r="G218" s="2">
        <v>0.126</v>
      </c>
      <c r="H218" s="2">
        <v>12.0</v>
      </c>
      <c r="I218" s="2">
        <v>82.9</v>
      </c>
      <c r="J218" s="2">
        <v>3.27</v>
      </c>
      <c r="K218" s="2">
        <v>0.0</v>
      </c>
      <c r="L218" s="2">
        <v>3.3</v>
      </c>
      <c r="M218" s="2">
        <v>674289.1</v>
      </c>
      <c r="N218" s="2">
        <v>117773.79</v>
      </c>
      <c r="O218" s="2">
        <f t="shared" si="1"/>
        <v>0</v>
      </c>
      <c r="P218" s="2">
        <f t="shared" si="2"/>
        <v>1</v>
      </c>
      <c r="Q218" s="2">
        <f t="shared" si="3"/>
        <v>0</v>
      </c>
      <c r="R218" s="2">
        <f t="shared" si="4"/>
        <v>1</v>
      </c>
      <c r="S218" s="2">
        <f t="shared" si="5"/>
        <v>0</v>
      </c>
      <c r="T218" s="2">
        <f t="shared" si="6"/>
        <v>0</v>
      </c>
      <c r="U218" s="2">
        <f t="shared" si="7"/>
        <v>640429.4923</v>
      </c>
      <c r="V218" s="2">
        <f t="shared" si="8"/>
        <v>33859.60767</v>
      </c>
    </row>
    <row r="219" ht="15.75" customHeight="1">
      <c r="A219" s="2" t="s">
        <v>76</v>
      </c>
      <c r="B219" s="3">
        <v>45689.0</v>
      </c>
      <c r="C219" s="2" t="s">
        <v>20</v>
      </c>
      <c r="D219" s="2" t="s">
        <v>21</v>
      </c>
      <c r="E219" s="2">
        <v>33987.33</v>
      </c>
      <c r="F219" s="2">
        <v>5014.0</v>
      </c>
      <c r="G219" s="2">
        <v>0.246</v>
      </c>
      <c r="H219" s="2">
        <v>17.0</v>
      </c>
      <c r="I219" s="2">
        <v>94.3</v>
      </c>
      <c r="J219" s="2">
        <v>10.34</v>
      </c>
      <c r="K219" s="2">
        <v>0.0</v>
      </c>
      <c r="L219" s="2">
        <v>3.9</v>
      </c>
      <c r="M219" s="2">
        <v>622892.42</v>
      </c>
      <c r="N219" s="2">
        <v>101032.52</v>
      </c>
      <c r="O219" s="2">
        <f t="shared" si="1"/>
        <v>0</v>
      </c>
      <c r="P219" s="2">
        <f t="shared" si="2"/>
        <v>1</v>
      </c>
      <c r="Q219" s="2">
        <f t="shared" si="3"/>
        <v>0</v>
      </c>
      <c r="R219" s="2">
        <f t="shared" si="4"/>
        <v>1</v>
      </c>
      <c r="S219" s="2">
        <f t="shared" si="5"/>
        <v>0</v>
      </c>
      <c r="T219" s="2">
        <f t="shared" si="6"/>
        <v>0</v>
      </c>
      <c r="U219" s="2">
        <f t="shared" si="7"/>
        <v>617941.5564</v>
      </c>
      <c r="V219" s="2">
        <f t="shared" si="8"/>
        <v>4950.863647</v>
      </c>
    </row>
    <row r="220" ht="15.75" customHeight="1">
      <c r="A220" s="2" t="s">
        <v>76</v>
      </c>
      <c r="B220" s="3">
        <v>45717.0</v>
      </c>
      <c r="C220" s="2" t="s">
        <v>20</v>
      </c>
      <c r="D220" s="2" t="s">
        <v>21</v>
      </c>
      <c r="E220" s="2">
        <v>58785.33</v>
      </c>
      <c r="F220" s="2">
        <v>4467.0</v>
      </c>
      <c r="G220" s="2">
        <v>0.229</v>
      </c>
      <c r="H220" s="2">
        <v>14.0</v>
      </c>
      <c r="I220" s="2">
        <v>90.7</v>
      </c>
      <c r="J220" s="2">
        <v>1.92</v>
      </c>
      <c r="K220" s="2">
        <v>0.0</v>
      </c>
      <c r="L220" s="2">
        <v>3.7</v>
      </c>
      <c r="M220" s="2">
        <v>673348.56</v>
      </c>
      <c r="N220" s="2">
        <v>69464.59</v>
      </c>
      <c r="O220" s="2">
        <f t="shared" si="1"/>
        <v>0</v>
      </c>
      <c r="P220" s="2">
        <f t="shared" si="2"/>
        <v>1</v>
      </c>
      <c r="Q220" s="2">
        <f t="shared" si="3"/>
        <v>0</v>
      </c>
      <c r="R220" s="2">
        <f t="shared" si="4"/>
        <v>1</v>
      </c>
      <c r="S220" s="2">
        <f t="shared" si="5"/>
        <v>0</v>
      </c>
      <c r="T220" s="2">
        <f t="shared" si="6"/>
        <v>0</v>
      </c>
      <c r="U220" s="2">
        <f t="shared" si="7"/>
        <v>618685.8885</v>
      </c>
      <c r="V220" s="2">
        <f t="shared" si="8"/>
        <v>54662.67147</v>
      </c>
    </row>
    <row r="221" ht="15.75" customHeight="1">
      <c r="A221" s="2" t="s">
        <v>76</v>
      </c>
      <c r="B221" s="3">
        <v>45748.0</v>
      </c>
      <c r="C221" s="2" t="s">
        <v>20</v>
      </c>
      <c r="D221" s="2" t="s">
        <v>21</v>
      </c>
      <c r="E221" s="2">
        <v>16451.85</v>
      </c>
      <c r="F221" s="2">
        <v>4678.0</v>
      </c>
      <c r="G221" s="2">
        <v>0.133</v>
      </c>
      <c r="H221" s="2">
        <v>11.0</v>
      </c>
      <c r="I221" s="2">
        <v>95.9</v>
      </c>
      <c r="J221" s="2">
        <v>3.1</v>
      </c>
      <c r="K221" s="2">
        <v>0.0</v>
      </c>
      <c r="L221" s="2">
        <v>3.9</v>
      </c>
      <c r="M221" s="2">
        <v>606278.3</v>
      </c>
      <c r="N221" s="2">
        <v>102213.26</v>
      </c>
      <c r="O221" s="2">
        <f t="shared" si="1"/>
        <v>0</v>
      </c>
      <c r="P221" s="2">
        <f t="shared" si="2"/>
        <v>1</v>
      </c>
      <c r="Q221" s="2">
        <f t="shared" si="3"/>
        <v>0</v>
      </c>
      <c r="R221" s="2">
        <f t="shared" si="4"/>
        <v>1</v>
      </c>
      <c r="S221" s="2">
        <f t="shared" si="5"/>
        <v>0</v>
      </c>
      <c r="T221" s="2">
        <f t="shared" si="6"/>
        <v>0</v>
      </c>
      <c r="U221" s="2">
        <f t="shared" si="7"/>
        <v>590271.4554</v>
      </c>
      <c r="V221" s="2">
        <f t="shared" si="8"/>
        <v>16006.8446</v>
      </c>
    </row>
    <row r="222" ht="15.75" customHeight="1">
      <c r="A222" s="2" t="s">
        <v>77</v>
      </c>
      <c r="B222" s="3">
        <v>45658.0</v>
      </c>
      <c r="C222" s="2" t="s">
        <v>15</v>
      </c>
      <c r="D222" s="2" t="s">
        <v>18</v>
      </c>
      <c r="E222" s="2">
        <v>53367.73</v>
      </c>
      <c r="F222" s="2">
        <v>7291.0</v>
      </c>
      <c r="G222" s="2">
        <v>0.146</v>
      </c>
      <c r="H222" s="2">
        <v>18.0</v>
      </c>
      <c r="I222" s="2">
        <v>90.6</v>
      </c>
      <c r="J222" s="2">
        <v>6.34</v>
      </c>
      <c r="K222" s="2">
        <v>1.0</v>
      </c>
      <c r="L222" s="2">
        <v>3.8</v>
      </c>
      <c r="M222" s="2">
        <v>712219.81</v>
      </c>
      <c r="N222" s="2">
        <v>85906.54</v>
      </c>
      <c r="O222" s="2">
        <f t="shared" si="1"/>
        <v>1</v>
      </c>
      <c r="P222" s="2">
        <f t="shared" si="2"/>
        <v>0</v>
      </c>
      <c r="Q222" s="2">
        <f t="shared" si="3"/>
        <v>0</v>
      </c>
      <c r="R222" s="2">
        <f t="shared" si="4"/>
        <v>0</v>
      </c>
      <c r="S222" s="2">
        <f t="shared" si="5"/>
        <v>1</v>
      </c>
      <c r="T222" s="2">
        <f t="shared" si="6"/>
        <v>0</v>
      </c>
      <c r="U222" s="2">
        <f t="shared" si="7"/>
        <v>697071.5161</v>
      </c>
      <c r="V222" s="2">
        <f t="shared" si="8"/>
        <v>15148.29388</v>
      </c>
    </row>
    <row r="223" ht="15.75" customHeight="1">
      <c r="A223" s="2" t="s">
        <v>77</v>
      </c>
      <c r="B223" s="3">
        <v>45689.0</v>
      </c>
      <c r="C223" s="2" t="s">
        <v>15</v>
      </c>
      <c r="D223" s="2" t="s">
        <v>18</v>
      </c>
      <c r="E223" s="2">
        <v>27194.64</v>
      </c>
      <c r="F223" s="2">
        <v>7404.0</v>
      </c>
      <c r="G223" s="2">
        <v>0.088</v>
      </c>
      <c r="H223" s="2">
        <v>18.0</v>
      </c>
      <c r="I223" s="2">
        <v>90.2</v>
      </c>
      <c r="J223" s="2">
        <v>1.2</v>
      </c>
      <c r="K223" s="2">
        <v>0.0</v>
      </c>
      <c r="L223" s="2">
        <v>3.4</v>
      </c>
      <c r="M223" s="2">
        <v>672670.54</v>
      </c>
      <c r="N223" s="2">
        <v>132684.18</v>
      </c>
      <c r="O223" s="2">
        <f t="shared" si="1"/>
        <v>1</v>
      </c>
      <c r="P223" s="2">
        <f t="shared" si="2"/>
        <v>0</v>
      </c>
      <c r="Q223" s="2">
        <f t="shared" si="3"/>
        <v>0</v>
      </c>
      <c r="R223" s="2">
        <f t="shared" si="4"/>
        <v>0</v>
      </c>
      <c r="S223" s="2">
        <f t="shared" si="5"/>
        <v>1</v>
      </c>
      <c r="T223" s="2">
        <f t="shared" si="6"/>
        <v>0</v>
      </c>
      <c r="U223" s="2">
        <f t="shared" si="7"/>
        <v>668725.7262</v>
      </c>
      <c r="V223" s="2">
        <f t="shared" si="8"/>
        <v>3944.813818</v>
      </c>
    </row>
    <row r="224" ht="15.75" customHeight="1">
      <c r="A224" s="2" t="s">
        <v>77</v>
      </c>
      <c r="B224" s="3">
        <v>45717.0</v>
      </c>
      <c r="C224" s="2" t="s">
        <v>15</v>
      </c>
      <c r="D224" s="2" t="s">
        <v>18</v>
      </c>
      <c r="E224" s="2">
        <v>66962.74</v>
      </c>
      <c r="F224" s="2">
        <v>7880.0</v>
      </c>
      <c r="G224" s="2">
        <v>0.116</v>
      </c>
      <c r="H224" s="2">
        <v>19.0</v>
      </c>
      <c r="I224" s="2">
        <v>90.4</v>
      </c>
      <c r="J224" s="2">
        <v>4.5</v>
      </c>
      <c r="K224" s="2">
        <v>0.0</v>
      </c>
      <c r="L224" s="2">
        <v>3.3</v>
      </c>
      <c r="M224" s="2">
        <v>732667.92</v>
      </c>
      <c r="N224" s="2">
        <v>128654.46</v>
      </c>
      <c r="O224" s="2">
        <f t="shared" si="1"/>
        <v>1</v>
      </c>
      <c r="P224" s="2">
        <f t="shared" si="2"/>
        <v>0</v>
      </c>
      <c r="Q224" s="2">
        <f t="shared" si="3"/>
        <v>0</v>
      </c>
      <c r="R224" s="2">
        <f t="shared" si="4"/>
        <v>0</v>
      </c>
      <c r="S224" s="2">
        <f t="shared" si="5"/>
        <v>1</v>
      </c>
      <c r="T224" s="2">
        <f t="shared" si="6"/>
        <v>0</v>
      </c>
      <c r="U224" s="2">
        <f t="shared" si="7"/>
        <v>732581.1257</v>
      </c>
      <c r="V224" s="2">
        <f t="shared" si="8"/>
        <v>86.7943216</v>
      </c>
    </row>
    <row r="225" ht="15.75" customHeight="1">
      <c r="A225" s="2" t="s">
        <v>77</v>
      </c>
      <c r="B225" s="3">
        <v>45748.0</v>
      </c>
      <c r="C225" s="2" t="s">
        <v>15</v>
      </c>
      <c r="D225" s="2" t="s">
        <v>18</v>
      </c>
      <c r="E225" s="2">
        <v>73540.99</v>
      </c>
      <c r="F225" s="2">
        <v>8773.0</v>
      </c>
      <c r="G225" s="2">
        <v>0.035</v>
      </c>
      <c r="H225" s="2">
        <v>21.0</v>
      </c>
      <c r="I225" s="2">
        <v>84.4</v>
      </c>
      <c r="J225" s="2">
        <v>6.68</v>
      </c>
      <c r="K225" s="2">
        <v>0.0</v>
      </c>
      <c r="L225" s="2">
        <v>3.6</v>
      </c>
      <c r="M225" s="2">
        <v>723531.4</v>
      </c>
      <c r="N225" s="2">
        <v>108794.85</v>
      </c>
      <c r="O225" s="2">
        <f t="shared" si="1"/>
        <v>1</v>
      </c>
      <c r="P225" s="2">
        <f t="shared" si="2"/>
        <v>0</v>
      </c>
      <c r="Q225" s="2">
        <f t="shared" si="3"/>
        <v>0</v>
      </c>
      <c r="R225" s="2">
        <f t="shared" si="4"/>
        <v>0</v>
      </c>
      <c r="S225" s="2">
        <f t="shared" si="5"/>
        <v>1</v>
      </c>
      <c r="T225" s="2">
        <f t="shared" si="6"/>
        <v>0</v>
      </c>
      <c r="U225" s="2">
        <f t="shared" si="7"/>
        <v>753718.2872</v>
      </c>
      <c r="V225" s="2">
        <f t="shared" si="8"/>
        <v>-30186.8872</v>
      </c>
    </row>
    <row r="226" ht="15.75" customHeight="1">
      <c r="A226" s="2" t="s">
        <v>78</v>
      </c>
      <c r="B226" s="3">
        <v>45658.0</v>
      </c>
      <c r="C226" s="2" t="s">
        <v>15</v>
      </c>
      <c r="D226" s="2" t="s">
        <v>28</v>
      </c>
      <c r="E226" s="2">
        <v>68212.29</v>
      </c>
      <c r="F226" s="2">
        <v>4713.0</v>
      </c>
      <c r="G226" s="2">
        <v>0.198</v>
      </c>
      <c r="H226" s="2">
        <v>15.0</v>
      </c>
      <c r="I226" s="2">
        <v>82.6</v>
      </c>
      <c r="J226" s="2">
        <v>4.07</v>
      </c>
      <c r="K226" s="2">
        <v>1.0</v>
      </c>
      <c r="L226" s="2">
        <v>3.0</v>
      </c>
      <c r="M226" s="2">
        <v>641564.6</v>
      </c>
      <c r="N226" s="2">
        <v>90468.96</v>
      </c>
      <c r="O226" s="2">
        <f t="shared" si="1"/>
        <v>1</v>
      </c>
      <c r="P226" s="2">
        <f t="shared" si="2"/>
        <v>0</v>
      </c>
      <c r="Q226" s="2">
        <f t="shared" si="3"/>
        <v>0</v>
      </c>
      <c r="R226" s="2">
        <f t="shared" si="4"/>
        <v>0</v>
      </c>
      <c r="S226" s="2">
        <f t="shared" si="5"/>
        <v>0</v>
      </c>
      <c r="T226" s="2">
        <f t="shared" si="6"/>
        <v>1</v>
      </c>
      <c r="U226" s="2">
        <f t="shared" si="7"/>
        <v>604827.0624</v>
      </c>
      <c r="V226" s="2">
        <f t="shared" si="8"/>
        <v>36737.53759</v>
      </c>
    </row>
    <row r="227" ht="15.75" customHeight="1">
      <c r="A227" s="2" t="s">
        <v>78</v>
      </c>
      <c r="B227" s="3">
        <v>45689.0</v>
      </c>
      <c r="C227" s="2" t="s">
        <v>15</v>
      </c>
      <c r="D227" s="2" t="s">
        <v>28</v>
      </c>
      <c r="E227" s="2">
        <v>57225.98</v>
      </c>
      <c r="F227" s="2">
        <v>2842.0</v>
      </c>
      <c r="G227" s="2">
        <v>0.112</v>
      </c>
      <c r="H227" s="2">
        <v>10.0</v>
      </c>
      <c r="I227" s="2">
        <v>79.5</v>
      </c>
      <c r="J227" s="2">
        <v>5.45</v>
      </c>
      <c r="K227" s="2">
        <v>0.0</v>
      </c>
      <c r="L227" s="2">
        <v>3.4</v>
      </c>
      <c r="M227" s="2">
        <v>536545.49</v>
      </c>
      <c r="N227" s="2">
        <v>97917.45</v>
      </c>
      <c r="O227" s="2">
        <f t="shared" si="1"/>
        <v>1</v>
      </c>
      <c r="P227" s="2">
        <f t="shared" si="2"/>
        <v>0</v>
      </c>
      <c r="Q227" s="2">
        <f t="shared" si="3"/>
        <v>0</v>
      </c>
      <c r="R227" s="2">
        <f t="shared" si="4"/>
        <v>0</v>
      </c>
      <c r="S227" s="2">
        <f t="shared" si="5"/>
        <v>0</v>
      </c>
      <c r="T227" s="2">
        <f t="shared" si="6"/>
        <v>1</v>
      </c>
      <c r="U227" s="2">
        <f t="shared" si="7"/>
        <v>519695.2714</v>
      </c>
      <c r="V227" s="2">
        <f t="shared" si="8"/>
        <v>16850.21856</v>
      </c>
    </row>
    <row r="228" ht="15.75" customHeight="1">
      <c r="A228" s="2" t="s">
        <v>78</v>
      </c>
      <c r="B228" s="3">
        <v>45717.0</v>
      </c>
      <c r="C228" s="2" t="s">
        <v>15</v>
      </c>
      <c r="D228" s="2" t="s">
        <v>28</v>
      </c>
      <c r="E228" s="2">
        <v>42932.02</v>
      </c>
      <c r="F228" s="2">
        <v>3872.0</v>
      </c>
      <c r="G228" s="2">
        <v>0.171</v>
      </c>
      <c r="H228" s="2">
        <v>12.0</v>
      </c>
      <c r="I228" s="2">
        <v>83.2</v>
      </c>
      <c r="J228" s="2">
        <v>15.58</v>
      </c>
      <c r="K228" s="2">
        <v>0.0</v>
      </c>
      <c r="L228" s="2">
        <v>3.3</v>
      </c>
      <c r="M228" s="2">
        <v>527681.56</v>
      </c>
      <c r="N228" s="2">
        <v>63153.05</v>
      </c>
      <c r="O228" s="2">
        <f t="shared" si="1"/>
        <v>1</v>
      </c>
      <c r="P228" s="2">
        <f t="shared" si="2"/>
        <v>0</v>
      </c>
      <c r="Q228" s="2">
        <f t="shared" si="3"/>
        <v>0</v>
      </c>
      <c r="R228" s="2">
        <f t="shared" si="4"/>
        <v>0</v>
      </c>
      <c r="S228" s="2">
        <f t="shared" si="5"/>
        <v>0</v>
      </c>
      <c r="T228" s="2">
        <f t="shared" si="6"/>
        <v>1</v>
      </c>
      <c r="U228" s="2">
        <f t="shared" si="7"/>
        <v>548049.7388</v>
      </c>
      <c r="V228" s="2">
        <f t="shared" si="8"/>
        <v>-20368.17884</v>
      </c>
    </row>
    <row r="229" ht="15.75" customHeight="1">
      <c r="A229" s="2" t="s">
        <v>78</v>
      </c>
      <c r="B229" s="3">
        <v>45748.0</v>
      </c>
      <c r="C229" s="2" t="s">
        <v>15</v>
      </c>
      <c r="D229" s="2" t="s">
        <v>28</v>
      </c>
      <c r="E229" s="2">
        <v>39341.45</v>
      </c>
      <c r="F229" s="2">
        <v>1375.0</v>
      </c>
      <c r="G229" s="2">
        <v>0.093</v>
      </c>
      <c r="H229" s="2">
        <v>5.0</v>
      </c>
      <c r="I229" s="2">
        <v>95.0</v>
      </c>
      <c r="J229" s="2">
        <v>5.32</v>
      </c>
      <c r="K229" s="2">
        <v>0.0</v>
      </c>
      <c r="L229" s="2"/>
      <c r="M229" s="2">
        <v>529598.94</v>
      </c>
      <c r="N229" s="2">
        <v>84334.33</v>
      </c>
      <c r="O229" s="2">
        <f t="shared" si="1"/>
        <v>1</v>
      </c>
      <c r="P229" s="2">
        <f t="shared" si="2"/>
        <v>0</v>
      </c>
      <c r="Q229" s="2">
        <f t="shared" si="3"/>
        <v>0</v>
      </c>
      <c r="R229" s="2">
        <f t="shared" si="4"/>
        <v>0</v>
      </c>
      <c r="S229" s="2">
        <f t="shared" si="5"/>
        <v>0</v>
      </c>
      <c r="T229" s="2">
        <f t="shared" si="6"/>
        <v>1</v>
      </c>
      <c r="U229" s="2">
        <f t="shared" si="7"/>
        <v>492479.4418</v>
      </c>
      <c r="V229" s="2">
        <f t="shared" si="8"/>
        <v>37119.49817</v>
      </c>
    </row>
    <row r="230" ht="15.75" customHeight="1">
      <c r="A230" s="2" t="s">
        <v>79</v>
      </c>
      <c r="B230" s="3">
        <v>45658.0</v>
      </c>
      <c r="C230" s="2" t="s">
        <v>15</v>
      </c>
      <c r="D230" s="2" t="s">
        <v>18</v>
      </c>
      <c r="E230" s="2">
        <v>37324.23</v>
      </c>
      <c r="F230" s="2">
        <v>5957.0</v>
      </c>
      <c r="G230" s="2">
        <v>0.071</v>
      </c>
      <c r="H230" s="2">
        <v>12.0</v>
      </c>
      <c r="I230" s="2">
        <v>85.9</v>
      </c>
      <c r="J230" s="2">
        <v>0.37</v>
      </c>
      <c r="K230" s="2">
        <v>0.0</v>
      </c>
      <c r="L230" s="2">
        <v>3.8</v>
      </c>
      <c r="M230" s="2">
        <v>570963.31</v>
      </c>
      <c r="N230" s="2">
        <v>87342.25</v>
      </c>
      <c r="O230" s="2">
        <f t="shared" si="1"/>
        <v>1</v>
      </c>
      <c r="P230" s="2">
        <f t="shared" si="2"/>
        <v>0</v>
      </c>
      <c r="Q230" s="2">
        <f t="shared" si="3"/>
        <v>0</v>
      </c>
      <c r="R230" s="2">
        <f t="shared" si="4"/>
        <v>0</v>
      </c>
      <c r="S230" s="2">
        <f t="shared" si="5"/>
        <v>1</v>
      </c>
      <c r="T230" s="2">
        <f t="shared" si="6"/>
        <v>0</v>
      </c>
      <c r="U230" s="2">
        <f t="shared" si="7"/>
        <v>619618.4712</v>
      </c>
      <c r="V230" s="2">
        <f t="shared" si="8"/>
        <v>-48655.16116</v>
      </c>
    </row>
    <row r="231" ht="15.75" customHeight="1">
      <c r="A231" s="2" t="s">
        <v>79</v>
      </c>
      <c r="B231" s="3">
        <v>45689.0</v>
      </c>
      <c r="C231" s="2" t="s">
        <v>15</v>
      </c>
      <c r="D231" s="2" t="s">
        <v>18</v>
      </c>
      <c r="E231" s="2">
        <v>113736.0</v>
      </c>
      <c r="F231" s="2">
        <v>8961.0</v>
      </c>
      <c r="G231" s="2">
        <v>0.202</v>
      </c>
      <c r="H231" s="2">
        <v>24.0</v>
      </c>
      <c r="I231" s="2">
        <v>86.2</v>
      </c>
      <c r="J231" s="2">
        <v>21.63</v>
      </c>
      <c r="K231" s="2">
        <v>0.0</v>
      </c>
      <c r="L231" s="2">
        <v>4.0</v>
      </c>
      <c r="M231" s="2">
        <v>870937.4</v>
      </c>
      <c r="N231" s="2">
        <v>175282.74</v>
      </c>
      <c r="O231" s="2">
        <f t="shared" si="1"/>
        <v>1</v>
      </c>
      <c r="P231" s="2">
        <f t="shared" si="2"/>
        <v>0</v>
      </c>
      <c r="Q231" s="2">
        <f t="shared" si="3"/>
        <v>0</v>
      </c>
      <c r="R231" s="2">
        <f t="shared" si="4"/>
        <v>0</v>
      </c>
      <c r="S231" s="2">
        <f t="shared" si="5"/>
        <v>1</v>
      </c>
      <c r="T231" s="2">
        <f t="shared" si="6"/>
        <v>0</v>
      </c>
      <c r="U231" s="2">
        <f t="shared" si="7"/>
        <v>812835.4463</v>
      </c>
      <c r="V231" s="2">
        <f t="shared" si="8"/>
        <v>58101.95374</v>
      </c>
    </row>
    <row r="232" ht="15.75" customHeight="1">
      <c r="A232" s="2" t="s">
        <v>79</v>
      </c>
      <c r="B232" s="3">
        <v>45717.0</v>
      </c>
      <c r="C232" s="2" t="s">
        <v>15</v>
      </c>
      <c r="D232" s="2" t="s">
        <v>18</v>
      </c>
      <c r="E232" s="2">
        <v>33173.95</v>
      </c>
      <c r="F232" s="2">
        <v>6545.0</v>
      </c>
      <c r="G232" s="2">
        <v>0.169</v>
      </c>
      <c r="H232" s="2">
        <v>15.0</v>
      </c>
      <c r="I232" s="2">
        <v>84.4</v>
      </c>
      <c r="J232" s="2">
        <v>2.48</v>
      </c>
      <c r="K232" s="2">
        <v>0.0</v>
      </c>
      <c r="L232" s="2">
        <v>3.9</v>
      </c>
      <c r="M232" s="2">
        <v>596969.27</v>
      </c>
      <c r="N232" s="2">
        <v>105669.51</v>
      </c>
      <c r="O232" s="2">
        <f t="shared" si="1"/>
        <v>1</v>
      </c>
      <c r="P232" s="2">
        <f t="shared" si="2"/>
        <v>0</v>
      </c>
      <c r="Q232" s="2">
        <f t="shared" si="3"/>
        <v>0</v>
      </c>
      <c r="R232" s="2">
        <f t="shared" si="4"/>
        <v>0</v>
      </c>
      <c r="S232" s="2">
        <f t="shared" si="5"/>
        <v>1</v>
      </c>
      <c r="T232" s="2">
        <f t="shared" si="6"/>
        <v>0</v>
      </c>
      <c r="U232" s="2">
        <f t="shared" si="7"/>
        <v>630381.957</v>
      </c>
      <c r="V232" s="2">
        <f t="shared" si="8"/>
        <v>-33412.68703</v>
      </c>
    </row>
    <row r="233" ht="15.75" customHeight="1">
      <c r="A233" s="2" t="s">
        <v>79</v>
      </c>
      <c r="B233" s="3">
        <v>45748.0</v>
      </c>
      <c r="C233" s="2" t="s">
        <v>15</v>
      </c>
      <c r="D233" s="2" t="s">
        <v>18</v>
      </c>
      <c r="E233" s="2">
        <v>25818.08</v>
      </c>
      <c r="F233" s="2">
        <v>5457.0</v>
      </c>
      <c r="G233" s="2">
        <v>0.0</v>
      </c>
      <c r="H233" s="2">
        <v>11.0</v>
      </c>
      <c r="I233" s="2">
        <v>95.4</v>
      </c>
      <c r="J233" s="2"/>
      <c r="K233" s="2">
        <v>0.0</v>
      </c>
      <c r="L233" s="2">
        <v>3.7</v>
      </c>
      <c r="M233" s="2">
        <v>647512.85</v>
      </c>
      <c r="N233" s="2">
        <v>153835.57</v>
      </c>
      <c r="O233" s="2">
        <f t="shared" si="1"/>
        <v>1</v>
      </c>
      <c r="P233" s="2">
        <f t="shared" si="2"/>
        <v>0</v>
      </c>
      <c r="Q233" s="2">
        <f t="shared" si="3"/>
        <v>0</v>
      </c>
      <c r="R233" s="2">
        <f t="shared" si="4"/>
        <v>0</v>
      </c>
      <c r="S233" s="2">
        <f t="shared" si="5"/>
        <v>1</v>
      </c>
      <c r="T233" s="2">
        <f t="shared" si="6"/>
        <v>0</v>
      </c>
      <c r="U233" s="2">
        <f t="shared" si="7"/>
        <v>615808.8463</v>
      </c>
      <c r="V233" s="2">
        <f t="shared" si="8"/>
        <v>31704.00373</v>
      </c>
    </row>
    <row r="234" ht="15.75" customHeight="1">
      <c r="A234" s="2" t="s">
        <v>80</v>
      </c>
      <c r="B234" s="3">
        <v>45658.0</v>
      </c>
      <c r="C234" s="2" t="s">
        <v>27</v>
      </c>
      <c r="D234" s="2" t="s">
        <v>16</v>
      </c>
      <c r="E234" s="2">
        <v>47241.92</v>
      </c>
      <c r="F234" s="2">
        <v>4264.0</v>
      </c>
      <c r="G234" s="2">
        <v>0.069</v>
      </c>
      <c r="H234" s="2">
        <v>13.0</v>
      </c>
      <c r="I234" s="2">
        <v>95.3</v>
      </c>
      <c r="J234" s="2">
        <v>0.85</v>
      </c>
      <c r="K234" s="2">
        <v>0.0</v>
      </c>
      <c r="L234" s="2">
        <v>4.3</v>
      </c>
      <c r="M234" s="2">
        <v>658072.14</v>
      </c>
      <c r="N234" s="2">
        <v>110595.89</v>
      </c>
      <c r="O234" s="2">
        <f t="shared" si="1"/>
        <v>0</v>
      </c>
      <c r="P234" s="2">
        <f t="shared" si="2"/>
        <v>0</v>
      </c>
      <c r="Q234" s="2">
        <f t="shared" si="3"/>
        <v>0</v>
      </c>
      <c r="R234" s="2">
        <f t="shared" si="4"/>
        <v>0</v>
      </c>
      <c r="S234" s="2">
        <f t="shared" si="5"/>
        <v>0</v>
      </c>
      <c r="T234" s="2">
        <f t="shared" si="6"/>
        <v>0</v>
      </c>
      <c r="U234" s="2">
        <f t="shared" si="7"/>
        <v>618026.2958</v>
      </c>
      <c r="V234" s="2">
        <f t="shared" si="8"/>
        <v>40045.84417</v>
      </c>
    </row>
    <row r="235" ht="15.75" customHeight="1">
      <c r="A235" s="2" t="s">
        <v>80</v>
      </c>
      <c r="B235" s="3">
        <v>45689.0</v>
      </c>
      <c r="C235" s="2" t="s">
        <v>27</v>
      </c>
      <c r="D235" s="2" t="s">
        <v>16</v>
      </c>
      <c r="E235" s="2">
        <v>61650.79</v>
      </c>
      <c r="F235" s="2">
        <v>5321.0</v>
      </c>
      <c r="G235" s="2">
        <v>0.126</v>
      </c>
      <c r="H235" s="2">
        <v>17.0</v>
      </c>
      <c r="I235" s="2">
        <v>89.2</v>
      </c>
      <c r="J235" s="2">
        <v>2.13</v>
      </c>
      <c r="K235" s="2">
        <v>0.0</v>
      </c>
      <c r="L235" s="2">
        <v>4.0</v>
      </c>
      <c r="M235" s="2">
        <v>723305.11</v>
      </c>
      <c r="N235" s="2">
        <v>128468.7</v>
      </c>
      <c r="O235" s="2">
        <f t="shared" si="1"/>
        <v>0</v>
      </c>
      <c r="P235" s="2">
        <f t="shared" si="2"/>
        <v>0</v>
      </c>
      <c r="Q235" s="2">
        <f t="shared" si="3"/>
        <v>0</v>
      </c>
      <c r="R235" s="2">
        <f t="shared" si="4"/>
        <v>0</v>
      </c>
      <c r="S235" s="2">
        <f t="shared" si="5"/>
        <v>0</v>
      </c>
      <c r="T235" s="2">
        <f t="shared" si="6"/>
        <v>0</v>
      </c>
      <c r="U235" s="2">
        <f t="shared" si="7"/>
        <v>653724.1236</v>
      </c>
      <c r="V235" s="2">
        <f t="shared" si="8"/>
        <v>69580.98643</v>
      </c>
    </row>
    <row r="236" ht="15.75" customHeight="1">
      <c r="A236" s="2" t="s">
        <v>80</v>
      </c>
      <c r="B236" s="3">
        <v>45717.0</v>
      </c>
      <c r="C236" s="2" t="s">
        <v>27</v>
      </c>
      <c r="D236" s="2" t="s">
        <v>16</v>
      </c>
      <c r="E236" s="2">
        <v>62582.71</v>
      </c>
      <c r="F236" s="2">
        <v>5479.0</v>
      </c>
      <c r="G236" s="2">
        <v>0.048</v>
      </c>
      <c r="H236" s="2">
        <v>16.0</v>
      </c>
      <c r="I236" s="2">
        <v>81.2</v>
      </c>
      <c r="J236" s="2">
        <v>1.46</v>
      </c>
      <c r="K236" s="2">
        <v>0.0</v>
      </c>
      <c r="L236" s="2">
        <v>4.5</v>
      </c>
      <c r="M236" s="2">
        <v>640666.53</v>
      </c>
      <c r="N236" s="2">
        <v>134919.16</v>
      </c>
      <c r="O236" s="2">
        <f t="shared" si="1"/>
        <v>0</v>
      </c>
      <c r="P236" s="2">
        <f t="shared" si="2"/>
        <v>0</v>
      </c>
      <c r="Q236" s="2">
        <f t="shared" si="3"/>
        <v>0</v>
      </c>
      <c r="R236" s="2">
        <f t="shared" si="4"/>
        <v>0</v>
      </c>
      <c r="S236" s="2">
        <f t="shared" si="5"/>
        <v>0</v>
      </c>
      <c r="T236" s="2">
        <f t="shared" si="6"/>
        <v>0</v>
      </c>
      <c r="U236" s="2">
        <f t="shared" si="7"/>
        <v>637635.7968</v>
      </c>
      <c r="V236" s="2">
        <f t="shared" si="8"/>
        <v>3030.733206</v>
      </c>
    </row>
    <row r="237" ht="15.75" customHeight="1">
      <c r="A237" s="2" t="s">
        <v>80</v>
      </c>
      <c r="B237" s="3">
        <v>45748.0</v>
      </c>
      <c r="C237" s="2" t="s">
        <v>27</v>
      </c>
      <c r="D237" s="2" t="s">
        <v>16</v>
      </c>
      <c r="E237" s="2">
        <v>47944.14</v>
      </c>
      <c r="F237" s="2">
        <v>6169.0</v>
      </c>
      <c r="G237" s="2">
        <v>0.119</v>
      </c>
      <c r="H237" s="2">
        <v>17.0</v>
      </c>
      <c r="I237" s="2">
        <v>92.2</v>
      </c>
      <c r="J237" s="2">
        <v>3.02</v>
      </c>
      <c r="K237" s="2">
        <v>0.0</v>
      </c>
      <c r="L237" s="2">
        <v>4.1</v>
      </c>
      <c r="M237" s="2">
        <v>670629.48</v>
      </c>
      <c r="N237" s="2">
        <v>100140.8</v>
      </c>
      <c r="O237" s="2">
        <f t="shared" si="1"/>
        <v>0</v>
      </c>
      <c r="P237" s="2">
        <f t="shared" si="2"/>
        <v>0</v>
      </c>
      <c r="Q237" s="2">
        <f t="shared" si="3"/>
        <v>0</v>
      </c>
      <c r="R237" s="2">
        <f t="shared" si="4"/>
        <v>0</v>
      </c>
      <c r="S237" s="2">
        <f t="shared" si="5"/>
        <v>0</v>
      </c>
      <c r="T237" s="2">
        <f t="shared" si="6"/>
        <v>0</v>
      </c>
      <c r="U237" s="2">
        <f t="shared" si="7"/>
        <v>674638.8756</v>
      </c>
      <c r="V237" s="2">
        <f t="shared" si="8"/>
        <v>-4009.395602</v>
      </c>
    </row>
    <row r="238" ht="15.75" customHeight="1">
      <c r="A238" s="2" t="s">
        <v>81</v>
      </c>
      <c r="B238" s="3">
        <v>45658.0</v>
      </c>
      <c r="C238" s="2" t="s">
        <v>27</v>
      </c>
      <c r="D238" s="2" t="s">
        <v>28</v>
      </c>
      <c r="E238" s="2">
        <v>46495.4</v>
      </c>
      <c r="F238" s="2">
        <v>9908.0</v>
      </c>
      <c r="G238" s="2">
        <v>0.121</v>
      </c>
      <c r="H238" s="2">
        <v>22.0</v>
      </c>
      <c r="I238" s="2">
        <v>89.4</v>
      </c>
      <c r="J238" s="2">
        <v>3.22</v>
      </c>
      <c r="K238" s="2">
        <v>0.0</v>
      </c>
      <c r="L238" s="2">
        <v>3.7</v>
      </c>
      <c r="M238" s="2">
        <v>721079.35</v>
      </c>
      <c r="N238" s="2">
        <v>115295.05</v>
      </c>
      <c r="O238" s="2">
        <f t="shared" si="1"/>
        <v>0</v>
      </c>
      <c r="P238" s="2">
        <f t="shared" si="2"/>
        <v>0</v>
      </c>
      <c r="Q238" s="2">
        <f t="shared" si="3"/>
        <v>0</v>
      </c>
      <c r="R238" s="2">
        <f t="shared" si="4"/>
        <v>0</v>
      </c>
      <c r="S238" s="2">
        <f t="shared" si="5"/>
        <v>0</v>
      </c>
      <c r="T238" s="2">
        <f t="shared" si="6"/>
        <v>1</v>
      </c>
      <c r="U238" s="2">
        <f t="shared" si="7"/>
        <v>791656.6577</v>
      </c>
      <c r="V238" s="2">
        <f t="shared" si="8"/>
        <v>-70577.30766</v>
      </c>
    </row>
    <row r="239" ht="15.75" customHeight="1">
      <c r="A239" s="2" t="s">
        <v>81</v>
      </c>
      <c r="B239" s="3">
        <v>45689.0</v>
      </c>
      <c r="C239" s="2" t="s">
        <v>27</v>
      </c>
      <c r="D239" s="2" t="s">
        <v>28</v>
      </c>
      <c r="E239" s="2">
        <v>72961.95</v>
      </c>
      <c r="F239" s="2">
        <v>9996.0</v>
      </c>
      <c r="G239" s="2">
        <v>0.106</v>
      </c>
      <c r="H239" s="2">
        <v>22.0</v>
      </c>
      <c r="I239" s="2">
        <v>89.1</v>
      </c>
      <c r="J239" s="2">
        <v>15.66</v>
      </c>
      <c r="K239" s="2">
        <v>0.0</v>
      </c>
      <c r="L239" s="2">
        <v>3.4</v>
      </c>
      <c r="M239" s="2">
        <v>810355.02</v>
      </c>
      <c r="N239" s="2">
        <v>131510.0</v>
      </c>
      <c r="O239" s="2">
        <f t="shared" si="1"/>
        <v>0</v>
      </c>
      <c r="P239" s="2">
        <f t="shared" si="2"/>
        <v>0</v>
      </c>
      <c r="Q239" s="2">
        <f t="shared" si="3"/>
        <v>0</v>
      </c>
      <c r="R239" s="2">
        <f t="shared" si="4"/>
        <v>0</v>
      </c>
      <c r="S239" s="2">
        <f t="shared" si="5"/>
        <v>0</v>
      </c>
      <c r="T239" s="2">
        <f t="shared" si="6"/>
        <v>1</v>
      </c>
      <c r="U239" s="2">
        <f t="shared" si="7"/>
        <v>825185.0486</v>
      </c>
      <c r="V239" s="2">
        <f t="shared" si="8"/>
        <v>-14830.02861</v>
      </c>
    </row>
    <row r="240" ht="15.75" customHeight="1">
      <c r="A240" s="2" t="s">
        <v>81</v>
      </c>
      <c r="B240" s="3">
        <v>45717.0</v>
      </c>
      <c r="C240" s="2" t="s">
        <v>27</v>
      </c>
      <c r="D240" s="2" t="s">
        <v>28</v>
      </c>
      <c r="E240" s="2">
        <v>59060.05</v>
      </c>
      <c r="F240" s="2">
        <v>9702.0</v>
      </c>
      <c r="G240" s="2">
        <v>0.201</v>
      </c>
      <c r="H240" s="2">
        <v>23.0</v>
      </c>
      <c r="I240" s="2">
        <v>80.9</v>
      </c>
      <c r="J240" s="2">
        <v>6.96</v>
      </c>
      <c r="K240" s="2">
        <v>0.0</v>
      </c>
      <c r="L240" s="2">
        <v>3.2</v>
      </c>
      <c r="M240" s="2">
        <v>761919.25</v>
      </c>
      <c r="N240" s="2">
        <v>111893.06</v>
      </c>
      <c r="O240" s="2">
        <f t="shared" si="1"/>
        <v>0</v>
      </c>
      <c r="P240" s="2">
        <f t="shared" si="2"/>
        <v>0</v>
      </c>
      <c r="Q240" s="2">
        <f t="shared" si="3"/>
        <v>0</v>
      </c>
      <c r="R240" s="2">
        <f t="shared" si="4"/>
        <v>0</v>
      </c>
      <c r="S240" s="2">
        <f t="shared" si="5"/>
        <v>0</v>
      </c>
      <c r="T240" s="2">
        <f t="shared" si="6"/>
        <v>1</v>
      </c>
      <c r="U240" s="2">
        <f t="shared" si="7"/>
        <v>775630.1639</v>
      </c>
      <c r="V240" s="2">
        <f t="shared" si="8"/>
        <v>-13710.91391</v>
      </c>
    </row>
    <row r="241" ht="15.75" customHeight="1">
      <c r="A241" s="2" t="s">
        <v>81</v>
      </c>
      <c r="B241" s="3">
        <v>45748.0</v>
      </c>
      <c r="C241" s="2" t="s">
        <v>27</v>
      </c>
      <c r="D241" s="2" t="s">
        <v>28</v>
      </c>
      <c r="E241" s="2">
        <v>26248.1</v>
      </c>
      <c r="F241" s="2">
        <v>9314.0</v>
      </c>
      <c r="G241" s="2">
        <v>0.186</v>
      </c>
      <c r="H241" s="2">
        <v>21.0</v>
      </c>
      <c r="I241" s="2">
        <v>83.7</v>
      </c>
      <c r="J241" s="2">
        <v>4.62</v>
      </c>
      <c r="K241" s="2">
        <v>0.0</v>
      </c>
      <c r="L241" s="2">
        <v>3.3</v>
      </c>
      <c r="M241" s="2">
        <v>737070.18</v>
      </c>
      <c r="N241" s="2">
        <v>117593.97</v>
      </c>
      <c r="O241" s="2">
        <f t="shared" si="1"/>
        <v>0</v>
      </c>
      <c r="P241" s="2">
        <f t="shared" si="2"/>
        <v>0</v>
      </c>
      <c r="Q241" s="2">
        <f t="shared" si="3"/>
        <v>0</v>
      </c>
      <c r="R241" s="2">
        <f t="shared" si="4"/>
        <v>0</v>
      </c>
      <c r="S241" s="2">
        <f t="shared" si="5"/>
        <v>0</v>
      </c>
      <c r="T241" s="2">
        <f t="shared" si="6"/>
        <v>1</v>
      </c>
      <c r="U241" s="2">
        <f t="shared" si="7"/>
        <v>731460.3633</v>
      </c>
      <c r="V241" s="2">
        <f t="shared" si="8"/>
        <v>5609.816704</v>
      </c>
    </row>
    <row r="242" ht="15.75" customHeight="1">
      <c r="A242" s="2" t="s">
        <v>82</v>
      </c>
      <c r="B242" s="3">
        <v>45658.0</v>
      </c>
      <c r="C242" s="2" t="s">
        <v>24</v>
      </c>
      <c r="D242" s="2" t="s">
        <v>21</v>
      </c>
      <c r="E242" s="2">
        <v>69900.12</v>
      </c>
      <c r="F242" s="2">
        <v>8055.0</v>
      </c>
      <c r="G242" s="2">
        <v>0.281</v>
      </c>
      <c r="H242" s="2">
        <v>22.0</v>
      </c>
      <c r="I242" s="2">
        <v>85.6</v>
      </c>
      <c r="J242" s="2">
        <v>10.68</v>
      </c>
      <c r="K242" s="2">
        <v>1.0</v>
      </c>
      <c r="L242" s="2">
        <v>2.9</v>
      </c>
      <c r="M242" s="2">
        <v>776992.93</v>
      </c>
      <c r="N242" s="2">
        <v>101598.32</v>
      </c>
      <c r="O242" s="2">
        <f t="shared" si="1"/>
        <v>0</v>
      </c>
      <c r="P242" s="2">
        <f t="shared" si="2"/>
        <v>0</v>
      </c>
      <c r="Q242" s="2">
        <f t="shared" si="3"/>
        <v>1</v>
      </c>
      <c r="R242" s="2">
        <f t="shared" si="4"/>
        <v>1</v>
      </c>
      <c r="S242" s="2">
        <f t="shared" si="5"/>
        <v>0</v>
      </c>
      <c r="T242" s="2">
        <f t="shared" si="6"/>
        <v>0</v>
      </c>
      <c r="U242" s="2">
        <f t="shared" si="7"/>
        <v>750404.4718</v>
      </c>
      <c r="V242" s="2">
        <f t="shared" si="8"/>
        <v>26588.45816</v>
      </c>
    </row>
    <row r="243" ht="15.75" customHeight="1">
      <c r="A243" s="2" t="s">
        <v>82</v>
      </c>
      <c r="B243" s="3">
        <v>45689.0</v>
      </c>
      <c r="C243" s="2" t="s">
        <v>24</v>
      </c>
      <c r="D243" s="2" t="s">
        <v>21</v>
      </c>
      <c r="E243" s="2">
        <v>51781.6</v>
      </c>
      <c r="F243" s="2">
        <v>5648.0</v>
      </c>
      <c r="G243" s="2">
        <v>0.059</v>
      </c>
      <c r="H243" s="2">
        <v>13.0</v>
      </c>
      <c r="I243" s="2">
        <v>85.5</v>
      </c>
      <c r="J243" s="2">
        <v>4.04</v>
      </c>
      <c r="K243" s="2">
        <v>0.0</v>
      </c>
      <c r="L243" s="2">
        <v>3.7</v>
      </c>
      <c r="M243" s="2">
        <v>676337.41</v>
      </c>
      <c r="N243" s="2">
        <v>104355.77</v>
      </c>
      <c r="O243" s="2">
        <f t="shared" si="1"/>
        <v>0</v>
      </c>
      <c r="P243" s="2">
        <f t="shared" si="2"/>
        <v>0</v>
      </c>
      <c r="Q243" s="2">
        <f t="shared" si="3"/>
        <v>1</v>
      </c>
      <c r="R243" s="2">
        <f t="shared" si="4"/>
        <v>1</v>
      </c>
      <c r="S243" s="2">
        <f t="shared" si="5"/>
        <v>0</v>
      </c>
      <c r="T243" s="2">
        <f t="shared" si="6"/>
        <v>0</v>
      </c>
      <c r="U243" s="2">
        <f t="shared" si="7"/>
        <v>647114.5347</v>
      </c>
      <c r="V243" s="2">
        <f t="shared" si="8"/>
        <v>29222.87534</v>
      </c>
    </row>
    <row r="244" ht="15.75" customHeight="1">
      <c r="A244" s="2" t="s">
        <v>82</v>
      </c>
      <c r="B244" s="3">
        <v>45717.0</v>
      </c>
      <c r="C244" s="2" t="s">
        <v>24</v>
      </c>
      <c r="D244" s="2" t="s">
        <v>21</v>
      </c>
      <c r="E244" s="2">
        <v>70799.64</v>
      </c>
      <c r="F244" s="2">
        <v>10076.0</v>
      </c>
      <c r="G244" s="2">
        <v>0.152</v>
      </c>
      <c r="H244" s="2">
        <v>24.0</v>
      </c>
      <c r="I244" s="2">
        <v>84.8</v>
      </c>
      <c r="J244" s="2">
        <v>1.87</v>
      </c>
      <c r="K244" s="2">
        <v>0.0</v>
      </c>
      <c r="L244" s="2">
        <v>3.5</v>
      </c>
      <c r="M244" s="2">
        <v>828219.67</v>
      </c>
      <c r="N244" s="2">
        <v>179806.87</v>
      </c>
      <c r="O244" s="2">
        <f t="shared" si="1"/>
        <v>0</v>
      </c>
      <c r="P244" s="2">
        <f t="shared" si="2"/>
        <v>0</v>
      </c>
      <c r="Q244" s="2">
        <f t="shared" si="3"/>
        <v>1</v>
      </c>
      <c r="R244" s="2">
        <f t="shared" si="4"/>
        <v>1</v>
      </c>
      <c r="S244" s="2">
        <f t="shared" si="5"/>
        <v>0</v>
      </c>
      <c r="T244" s="2">
        <f t="shared" si="6"/>
        <v>0</v>
      </c>
      <c r="U244" s="2">
        <f t="shared" si="7"/>
        <v>817661.179</v>
      </c>
      <c r="V244" s="2">
        <f t="shared" si="8"/>
        <v>10558.49102</v>
      </c>
    </row>
    <row r="245" ht="15.75" customHeight="1">
      <c r="A245" s="2" t="s">
        <v>82</v>
      </c>
      <c r="B245" s="3">
        <v>45748.0</v>
      </c>
      <c r="C245" s="2" t="s">
        <v>24</v>
      </c>
      <c r="D245" s="2" t="s">
        <v>21</v>
      </c>
      <c r="E245" s="2">
        <v>53546.34</v>
      </c>
      <c r="F245" s="2">
        <v>8004.0</v>
      </c>
      <c r="G245" s="2">
        <v>0.0</v>
      </c>
      <c r="H245" s="2">
        <v>21.0</v>
      </c>
      <c r="I245" s="2">
        <v>95.2</v>
      </c>
      <c r="J245" s="2">
        <v>2.83</v>
      </c>
      <c r="K245" s="2">
        <v>0.0</v>
      </c>
      <c r="L245" s="2">
        <v>3.0</v>
      </c>
      <c r="M245" s="2">
        <v>763159.92</v>
      </c>
      <c r="N245" s="2">
        <v>177104.87</v>
      </c>
      <c r="O245" s="2">
        <f t="shared" si="1"/>
        <v>0</v>
      </c>
      <c r="P245" s="2">
        <f t="shared" si="2"/>
        <v>0</v>
      </c>
      <c r="Q245" s="2">
        <f t="shared" si="3"/>
        <v>1</v>
      </c>
      <c r="R245" s="2">
        <f t="shared" si="4"/>
        <v>1</v>
      </c>
      <c r="S245" s="2">
        <f t="shared" si="5"/>
        <v>0</v>
      </c>
      <c r="T245" s="2">
        <f t="shared" si="6"/>
        <v>0</v>
      </c>
      <c r="U245" s="2">
        <f t="shared" si="7"/>
        <v>756332.6487</v>
      </c>
      <c r="V245" s="2">
        <f t="shared" si="8"/>
        <v>6827.271346</v>
      </c>
    </row>
    <row r="246" ht="15.75" customHeight="1">
      <c r="A246" s="2" t="s">
        <v>83</v>
      </c>
      <c r="B246" s="3">
        <v>45658.0</v>
      </c>
      <c r="C246" s="2" t="s">
        <v>15</v>
      </c>
      <c r="D246" s="2" t="s">
        <v>18</v>
      </c>
      <c r="E246" s="2">
        <v>76942.2</v>
      </c>
      <c r="F246" s="2">
        <v>8934.0</v>
      </c>
      <c r="G246" s="2">
        <v>0.084</v>
      </c>
      <c r="H246" s="2">
        <v>20.0</v>
      </c>
      <c r="I246" s="2">
        <v>91.0</v>
      </c>
      <c r="J246" s="2">
        <v>0.95</v>
      </c>
      <c r="K246" s="2">
        <v>0.0</v>
      </c>
      <c r="L246" s="2">
        <v>3.2</v>
      </c>
      <c r="M246" s="2">
        <v>802001.68</v>
      </c>
      <c r="N246" s="2">
        <v>159715.82</v>
      </c>
      <c r="O246" s="2">
        <f t="shared" si="1"/>
        <v>1</v>
      </c>
      <c r="P246" s="2">
        <f t="shared" si="2"/>
        <v>0</v>
      </c>
      <c r="Q246" s="2">
        <f t="shared" si="3"/>
        <v>0</v>
      </c>
      <c r="R246" s="2">
        <f t="shared" si="4"/>
        <v>0</v>
      </c>
      <c r="S246" s="2">
        <f t="shared" si="5"/>
        <v>1</v>
      </c>
      <c r="T246" s="2">
        <f t="shared" si="6"/>
        <v>0</v>
      </c>
      <c r="U246" s="2">
        <f t="shared" si="7"/>
        <v>781804.501</v>
      </c>
      <c r="V246" s="2">
        <f t="shared" si="8"/>
        <v>20197.17905</v>
      </c>
    </row>
    <row r="247" ht="15.75" customHeight="1">
      <c r="A247" s="2" t="s">
        <v>83</v>
      </c>
      <c r="B247" s="3">
        <v>45689.0</v>
      </c>
      <c r="C247" s="2" t="s">
        <v>15</v>
      </c>
      <c r="D247" s="2" t="s">
        <v>18</v>
      </c>
      <c r="E247" s="2">
        <v>48060.78</v>
      </c>
      <c r="F247" s="2">
        <v>8733.0</v>
      </c>
      <c r="G247" s="2">
        <v>0.0</v>
      </c>
      <c r="H247" s="2">
        <v>20.0</v>
      </c>
      <c r="I247" s="2">
        <v>89.9</v>
      </c>
      <c r="J247" s="2">
        <v>0.8</v>
      </c>
      <c r="K247" s="2">
        <v>0.0</v>
      </c>
      <c r="L247" s="2">
        <v>3.4</v>
      </c>
      <c r="M247" s="2">
        <v>750471.34</v>
      </c>
      <c r="N247" s="2">
        <v>133788.04</v>
      </c>
      <c r="O247" s="2">
        <f t="shared" si="1"/>
        <v>1</v>
      </c>
      <c r="P247" s="2">
        <f t="shared" si="2"/>
        <v>0</v>
      </c>
      <c r="Q247" s="2">
        <f t="shared" si="3"/>
        <v>0</v>
      </c>
      <c r="R247" s="2">
        <f t="shared" si="4"/>
        <v>0</v>
      </c>
      <c r="S247" s="2">
        <f t="shared" si="5"/>
        <v>1</v>
      </c>
      <c r="T247" s="2">
        <f t="shared" si="6"/>
        <v>0</v>
      </c>
      <c r="U247" s="2">
        <f t="shared" si="7"/>
        <v>737639.4613</v>
      </c>
      <c r="V247" s="2">
        <f t="shared" si="8"/>
        <v>12831.8787</v>
      </c>
    </row>
    <row r="248" ht="15.75" customHeight="1">
      <c r="A248" s="2" t="s">
        <v>83</v>
      </c>
      <c r="B248" s="3">
        <v>45717.0</v>
      </c>
      <c r="C248" s="2" t="s">
        <v>15</v>
      </c>
      <c r="D248" s="2" t="s">
        <v>18</v>
      </c>
      <c r="E248" s="2">
        <v>57390.04</v>
      </c>
      <c r="F248" s="2">
        <v>7374.0</v>
      </c>
      <c r="G248" s="2">
        <v>0.21</v>
      </c>
      <c r="H248" s="2">
        <v>21.0</v>
      </c>
      <c r="I248" s="2">
        <v>91.8</v>
      </c>
      <c r="J248" s="2">
        <v>0.2</v>
      </c>
      <c r="K248" s="2">
        <v>0.0</v>
      </c>
      <c r="L248" s="2">
        <v>3.1</v>
      </c>
      <c r="M248" s="2">
        <v>679230.86</v>
      </c>
      <c r="N248" s="2">
        <v>106927.58</v>
      </c>
      <c r="O248" s="2">
        <f t="shared" si="1"/>
        <v>1</v>
      </c>
      <c r="P248" s="2">
        <f t="shared" si="2"/>
        <v>0</v>
      </c>
      <c r="Q248" s="2">
        <f t="shared" si="3"/>
        <v>0</v>
      </c>
      <c r="R248" s="2">
        <f t="shared" si="4"/>
        <v>0</v>
      </c>
      <c r="S248" s="2">
        <f t="shared" si="5"/>
        <v>1</v>
      </c>
      <c r="T248" s="2">
        <f t="shared" si="6"/>
        <v>0</v>
      </c>
      <c r="U248" s="2">
        <f t="shared" si="7"/>
        <v>708035.2348</v>
      </c>
      <c r="V248" s="2">
        <f t="shared" si="8"/>
        <v>-28804.37485</v>
      </c>
    </row>
    <row r="249" ht="15.75" customHeight="1">
      <c r="A249" s="2" t="s">
        <v>83</v>
      </c>
      <c r="B249" s="3">
        <v>45748.0</v>
      </c>
      <c r="C249" s="2" t="s">
        <v>15</v>
      </c>
      <c r="D249" s="2" t="s">
        <v>18</v>
      </c>
      <c r="E249" s="2">
        <v>21536.18</v>
      </c>
      <c r="F249" s="2">
        <v>8119.0</v>
      </c>
      <c r="G249" s="2">
        <v>0.227</v>
      </c>
      <c r="H249" s="2">
        <v>20.0</v>
      </c>
      <c r="I249" s="2">
        <v>90.4</v>
      </c>
      <c r="J249" s="2">
        <v>1.7</v>
      </c>
      <c r="K249" s="2">
        <v>0.0</v>
      </c>
      <c r="L249" s="2">
        <v>3.3</v>
      </c>
      <c r="M249" s="2">
        <v>679888.74</v>
      </c>
      <c r="N249" s="2">
        <v>83406.89</v>
      </c>
      <c r="O249" s="2">
        <f t="shared" si="1"/>
        <v>1</v>
      </c>
      <c r="P249" s="2">
        <f t="shared" si="2"/>
        <v>0</v>
      </c>
      <c r="Q249" s="2">
        <f t="shared" si="3"/>
        <v>0</v>
      </c>
      <c r="R249" s="2">
        <f t="shared" si="4"/>
        <v>0</v>
      </c>
      <c r="S249" s="2">
        <f t="shared" si="5"/>
        <v>1</v>
      </c>
      <c r="T249" s="2">
        <f t="shared" si="6"/>
        <v>0</v>
      </c>
      <c r="U249" s="2">
        <f t="shared" si="7"/>
        <v>686792.0508</v>
      </c>
      <c r="V249" s="2">
        <f t="shared" si="8"/>
        <v>-6903.310769</v>
      </c>
    </row>
    <row r="250" ht="15.75" customHeight="1">
      <c r="A250" s="2" t="s">
        <v>84</v>
      </c>
      <c r="B250" s="3">
        <v>45658.0</v>
      </c>
      <c r="C250" s="2" t="s">
        <v>20</v>
      </c>
      <c r="D250" s="2" t="s">
        <v>18</v>
      </c>
      <c r="E250" s="2">
        <v>40923.67</v>
      </c>
      <c r="F250" s="2">
        <v>3875.0</v>
      </c>
      <c r="G250" s="2">
        <v>0.15</v>
      </c>
      <c r="H250" s="2">
        <v>10.0</v>
      </c>
      <c r="I250" s="2">
        <v>96.1</v>
      </c>
      <c r="J250" s="2"/>
      <c r="K250" s="2">
        <v>0.0</v>
      </c>
      <c r="L250" s="2">
        <v>3.8</v>
      </c>
      <c r="M250" s="2">
        <v>606783.67</v>
      </c>
      <c r="N250" s="2">
        <v>74515.87</v>
      </c>
      <c r="O250" s="2">
        <f t="shared" si="1"/>
        <v>0</v>
      </c>
      <c r="P250" s="2">
        <f t="shared" si="2"/>
        <v>1</v>
      </c>
      <c r="Q250" s="2">
        <f t="shared" si="3"/>
        <v>0</v>
      </c>
      <c r="R250" s="2">
        <f t="shared" si="4"/>
        <v>0</v>
      </c>
      <c r="S250" s="2">
        <f t="shared" si="5"/>
        <v>1</v>
      </c>
      <c r="T250" s="2">
        <f t="shared" si="6"/>
        <v>0</v>
      </c>
      <c r="U250" s="2">
        <f t="shared" si="7"/>
        <v>592667.7659</v>
      </c>
      <c r="V250" s="2">
        <f t="shared" si="8"/>
        <v>14115.90409</v>
      </c>
    </row>
    <row r="251" ht="15.75" customHeight="1">
      <c r="A251" s="2" t="s">
        <v>84</v>
      </c>
      <c r="B251" s="3">
        <v>45689.0</v>
      </c>
      <c r="C251" s="2" t="s">
        <v>20</v>
      </c>
      <c r="D251" s="2" t="s">
        <v>18</v>
      </c>
      <c r="E251" s="2">
        <v>72932.55</v>
      </c>
      <c r="F251" s="2">
        <v>5765.0</v>
      </c>
      <c r="G251" s="2">
        <v>0.026</v>
      </c>
      <c r="H251" s="2">
        <v>17.0</v>
      </c>
      <c r="I251" s="2">
        <v>81.8</v>
      </c>
      <c r="J251" s="2">
        <v>5.1</v>
      </c>
      <c r="K251" s="2">
        <v>0.0</v>
      </c>
      <c r="L251" s="2">
        <v>3.6</v>
      </c>
      <c r="M251" s="2">
        <v>642751.42</v>
      </c>
      <c r="N251" s="2">
        <v>131942.15</v>
      </c>
      <c r="O251" s="2">
        <f t="shared" si="1"/>
        <v>0</v>
      </c>
      <c r="P251" s="2">
        <f t="shared" si="2"/>
        <v>1</v>
      </c>
      <c r="Q251" s="2">
        <f t="shared" si="3"/>
        <v>0</v>
      </c>
      <c r="R251" s="2">
        <f t="shared" si="4"/>
        <v>0</v>
      </c>
      <c r="S251" s="2">
        <f t="shared" si="5"/>
        <v>1</v>
      </c>
      <c r="T251" s="2">
        <f t="shared" si="6"/>
        <v>0</v>
      </c>
      <c r="U251" s="2">
        <f t="shared" si="7"/>
        <v>654344.56</v>
      </c>
      <c r="V251" s="2">
        <f t="shared" si="8"/>
        <v>-11593.14001</v>
      </c>
    </row>
    <row r="252" ht="15.75" customHeight="1">
      <c r="A252" s="2" t="s">
        <v>84</v>
      </c>
      <c r="B252" s="3">
        <v>45717.0</v>
      </c>
      <c r="C252" s="2" t="s">
        <v>20</v>
      </c>
      <c r="D252" s="2" t="s">
        <v>18</v>
      </c>
      <c r="E252" s="2">
        <v>38361.93</v>
      </c>
      <c r="F252" s="2">
        <v>6322.0</v>
      </c>
      <c r="G252" s="2">
        <v>0.273</v>
      </c>
      <c r="H252" s="2">
        <v>15.0</v>
      </c>
      <c r="I252" s="2">
        <v>88.4</v>
      </c>
      <c r="J252" s="2">
        <v>0.83</v>
      </c>
      <c r="K252" s="2">
        <v>0.0</v>
      </c>
      <c r="L252" s="2">
        <v>4.0</v>
      </c>
      <c r="M252" s="2">
        <v>647953.78</v>
      </c>
      <c r="N252" s="2">
        <v>118497.43</v>
      </c>
      <c r="O252" s="2">
        <f t="shared" si="1"/>
        <v>0</v>
      </c>
      <c r="P252" s="2">
        <f t="shared" si="2"/>
        <v>1</v>
      </c>
      <c r="Q252" s="2">
        <f t="shared" si="3"/>
        <v>0</v>
      </c>
      <c r="R252" s="2">
        <f t="shared" si="4"/>
        <v>0</v>
      </c>
      <c r="S252" s="2">
        <f t="shared" si="5"/>
        <v>1</v>
      </c>
      <c r="T252" s="2">
        <f t="shared" si="6"/>
        <v>0</v>
      </c>
      <c r="U252" s="2">
        <f t="shared" si="7"/>
        <v>650801.2419</v>
      </c>
      <c r="V252" s="2">
        <f t="shared" si="8"/>
        <v>-2847.461889</v>
      </c>
    </row>
    <row r="253" ht="15.75" customHeight="1">
      <c r="A253" s="2" t="s">
        <v>84</v>
      </c>
      <c r="B253" s="3">
        <v>45748.0</v>
      </c>
      <c r="C253" s="2" t="s">
        <v>20</v>
      </c>
      <c r="D253" s="2" t="s">
        <v>18</v>
      </c>
      <c r="E253" s="2">
        <v>97480.94</v>
      </c>
      <c r="F253" s="2">
        <v>6840.0</v>
      </c>
      <c r="G253" s="2">
        <v>0.087</v>
      </c>
      <c r="H253" s="2">
        <v>14.0</v>
      </c>
      <c r="I253" s="2">
        <v>79.2</v>
      </c>
      <c r="J253" s="2">
        <v>1.14</v>
      </c>
      <c r="K253" s="2">
        <v>0.0</v>
      </c>
      <c r="L253" s="2">
        <v>4.0</v>
      </c>
      <c r="M253" s="2">
        <v>729440.45</v>
      </c>
      <c r="N253" s="2">
        <v>87614.29</v>
      </c>
      <c r="O253" s="2">
        <f t="shared" si="1"/>
        <v>0</v>
      </c>
      <c r="P253" s="2">
        <f t="shared" si="2"/>
        <v>1</v>
      </c>
      <c r="Q253" s="2">
        <f t="shared" si="3"/>
        <v>0</v>
      </c>
      <c r="R253" s="2">
        <f t="shared" si="4"/>
        <v>0</v>
      </c>
      <c r="S253" s="2">
        <f t="shared" si="5"/>
        <v>1</v>
      </c>
      <c r="T253" s="2">
        <f t="shared" si="6"/>
        <v>0</v>
      </c>
      <c r="U253" s="2">
        <f t="shared" si="7"/>
        <v>712542.3578</v>
      </c>
      <c r="V253" s="2">
        <f t="shared" si="8"/>
        <v>16898.09221</v>
      </c>
    </row>
    <row r="254" ht="15.75" customHeight="1">
      <c r="A254" s="2" t="s">
        <v>85</v>
      </c>
      <c r="B254" s="3">
        <v>45658.0</v>
      </c>
      <c r="C254" s="2" t="s">
        <v>24</v>
      </c>
      <c r="D254" s="2" t="s">
        <v>21</v>
      </c>
      <c r="E254" s="2">
        <v>81801.8</v>
      </c>
      <c r="F254" s="2">
        <v>6782.0</v>
      </c>
      <c r="G254" s="2">
        <v>0.05</v>
      </c>
      <c r="H254" s="2">
        <v>16.0</v>
      </c>
      <c r="I254" s="2">
        <v>99.0</v>
      </c>
      <c r="J254" s="2">
        <v>9.54</v>
      </c>
      <c r="K254" s="2">
        <v>0.0</v>
      </c>
      <c r="L254" s="2">
        <v>3.7</v>
      </c>
      <c r="M254" s="2">
        <v>764949.0</v>
      </c>
      <c r="N254" s="2">
        <v>148322.43</v>
      </c>
      <c r="O254" s="2">
        <f t="shared" si="1"/>
        <v>0</v>
      </c>
      <c r="P254" s="2">
        <f t="shared" si="2"/>
        <v>0</v>
      </c>
      <c r="Q254" s="2">
        <f t="shared" si="3"/>
        <v>1</v>
      </c>
      <c r="R254" s="2">
        <f t="shared" si="4"/>
        <v>1</v>
      </c>
      <c r="S254" s="2">
        <f t="shared" si="5"/>
        <v>0</v>
      </c>
      <c r="T254" s="2">
        <f t="shared" si="6"/>
        <v>0</v>
      </c>
      <c r="U254" s="2">
        <f t="shared" si="7"/>
        <v>759171.9861</v>
      </c>
      <c r="V254" s="2">
        <f t="shared" si="8"/>
        <v>5777.013912</v>
      </c>
    </row>
    <row r="255" ht="15.75" customHeight="1">
      <c r="A255" s="2" t="s">
        <v>85</v>
      </c>
      <c r="B255" s="3">
        <v>45689.0</v>
      </c>
      <c r="C255" s="2" t="s">
        <v>24</v>
      </c>
      <c r="D255" s="2" t="s">
        <v>21</v>
      </c>
      <c r="E255" s="2">
        <v>63582.11</v>
      </c>
      <c r="F255" s="2">
        <v>6856.0</v>
      </c>
      <c r="G255" s="2">
        <v>0.074</v>
      </c>
      <c r="H255" s="2">
        <v>17.0</v>
      </c>
      <c r="I255" s="2">
        <v>89.5</v>
      </c>
      <c r="J255" s="2">
        <v>5.48</v>
      </c>
      <c r="K255" s="2">
        <v>0.0</v>
      </c>
      <c r="L255" s="2">
        <v>3.2</v>
      </c>
      <c r="M255" s="2">
        <v>799046.94</v>
      </c>
      <c r="N255" s="2">
        <v>144553.64</v>
      </c>
      <c r="O255" s="2">
        <f t="shared" si="1"/>
        <v>0</v>
      </c>
      <c r="P255" s="2">
        <f t="shared" si="2"/>
        <v>0</v>
      </c>
      <c r="Q255" s="2">
        <f t="shared" si="3"/>
        <v>1</v>
      </c>
      <c r="R255" s="2">
        <f t="shared" si="4"/>
        <v>1</v>
      </c>
      <c r="S255" s="2">
        <f t="shared" si="5"/>
        <v>0</v>
      </c>
      <c r="T255" s="2">
        <f t="shared" si="6"/>
        <v>0</v>
      </c>
      <c r="U255" s="2">
        <f t="shared" si="7"/>
        <v>713294.8796</v>
      </c>
      <c r="V255" s="2">
        <f t="shared" si="8"/>
        <v>85752.0604</v>
      </c>
    </row>
    <row r="256" ht="15.75" customHeight="1">
      <c r="A256" s="2" t="s">
        <v>85</v>
      </c>
      <c r="B256" s="3">
        <v>45717.0</v>
      </c>
      <c r="C256" s="2" t="s">
        <v>24</v>
      </c>
      <c r="D256" s="2" t="s">
        <v>21</v>
      </c>
      <c r="E256" s="2">
        <v>75412.74</v>
      </c>
      <c r="F256" s="2">
        <v>5641.0</v>
      </c>
      <c r="G256" s="2">
        <v>0.059</v>
      </c>
      <c r="H256" s="2">
        <v>13.0</v>
      </c>
      <c r="I256" s="2">
        <v>87.9</v>
      </c>
      <c r="J256" s="2">
        <v>0.84</v>
      </c>
      <c r="K256" s="2">
        <v>0.0</v>
      </c>
      <c r="L256" s="2">
        <v>3.6</v>
      </c>
      <c r="M256" s="2">
        <v>720079.54</v>
      </c>
      <c r="N256" s="2">
        <v>119499.47</v>
      </c>
      <c r="O256" s="2">
        <f t="shared" si="1"/>
        <v>0</v>
      </c>
      <c r="P256" s="2">
        <f t="shared" si="2"/>
        <v>0</v>
      </c>
      <c r="Q256" s="2">
        <f t="shared" si="3"/>
        <v>1</v>
      </c>
      <c r="R256" s="2">
        <f t="shared" si="4"/>
        <v>1</v>
      </c>
      <c r="S256" s="2">
        <f t="shared" si="5"/>
        <v>0</v>
      </c>
      <c r="T256" s="2">
        <f t="shared" si="6"/>
        <v>0</v>
      </c>
      <c r="U256" s="2">
        <f t="shared" si="7"/>
        <v>681671.1742</v>
      </c>
      <c r="V256" s="2">
        <f t="shared" si="8"/>
        <v>38408.36582</v>
      </c>
    </row>
    <row r="257" ht="15.75" customHeight="1">
      <c r="A257" s="2" t="s">
        <v>85</v>
      </c>
      <c r="B257" s="3">
        <v>45748.0</v>
      </c>
      <c r="C257" s="2" t="s">
        <v>24</v>
      </c>
      <c r="D257" s="2" t="s">
        <v>21</v>
      </c>
      <c r="E257" s="2">
        <v>36290.08</v>
      </c>
      <c r="F257" s="2">
        <v>5787.0</v>
      </c>
      <c r="G257" s="2">
        <v>0.0</v>
      </c>
      <c r="H257" s="2">
        <v>17.0</v>
      </c>
      <c r="I257" s="2">
        <v>88.3</v>
      </c>
      <c r="J257" s="2">
        <v>4.19</v>
      </c>
      <c r="K257" s="2">
        <v>0.0</v>
      </c>
      <c r="L257" s="2">
        <v>4.1</v>
      </c>
      <c r="M257" s="2">
        <v>612390.14</v>
      </c>
      <c r="N257" s="2">
        <v>108985.74</v>
      </c>
      <c r="O257" s="2">
        <f t="shared" si="1"/>
        <v>0</v>
      </c>
      <c r="P257" s="2">
        <f t="shared" si="2"/>
        <v>0</v>
      </c>
      <c r="Q257" s="2">
        <f t="shared" si="3"/>
        <v>1</v>
      </c>
      <c r="R257" s="2">
        <f t="shared" si="4"/>
        <v>1</v>
      </c>
      <c r="S257" s="2">
        <f t="shared" si="5"/>
        <v>0</v>
      </c>
      <c r="T257" s="2">
        <f t="shared" si="6"/>
        <v>0</v>
      </c>
      <c r="U257" s="2">
        <f t="shared" si="7"/>
        <v>641337.1808</v>
      </c>
      <c r="V257" s="2">
        <f t="shared" si="8"/>
        <v>-28947.04079</v>
      </c>
    </row>
    <row r="258" ht="15.75" customHeight="1">
      <c r="A258" s="2" t="s">
        <v>86</v>
      </c>
      <c r="B258" s="3">
        <v>45658.0</v>
      </c>
      <c r="C258" s="2" t="s">
        <v>24</v>
      </c>
      <c r="D258" s="2" t="s">
        <v>28</v>
      </c>
      <c r="E258" s="2">
        <v>65272.58</v>
      </c>
      <c r="F258" s="2">
        <v>8165.0</v>
      </c>
      <c r="G258" s="2">
        <v>0.051</v>
      </c>
      <c r="H258" s="2">
        <v>19.0</v>
      </c>
      <c r="I258" s="2">
        <v>87.8</v>
      </c>
      <c r="J258" s="2">
        <v>1.26</v>
      </c>
      <c r="K258" s="2">
        <v>1.0</v>
      </c>
      <c r="L258" s="2">
        <v>4.3</v>
      </c>
      <c r="M258" s="2">
        <v>840108.12</v>
      </c>
      <c r="N258" s="2">
        <v>126587.01</v>
      </c>
      <c r="O258" s="2">
        <f t="shared" si="1"/>
        <v>0</v>
      </c>
      <c r="P258" s="2">
        <f t="shared" si="2"/>
        <v>0</v>
      </c>
      <c r="Q258" s="2">
        <f t="shared" si="3"/>
        <v>1</v>
      </c>
      <c r="R258" s="2">
        <f t="shared" si="4"/>
        <v>0</v>
      </c>
      <c r="S258" s="2">
        <f t="shared" si="5"/>
        <v>0</v>
      </c>
      <c r="T258" s="2">
        <f t="shared" si="6"/>
        <v>1</v>
      </c>
      <c r="U258" s="2">
        <f t="shared" si="7"/>
        <v>754840.56</v>
      </c>
      <c r="V258" s="2">
        <f t="shared" si="8"/>
        <v>85267.56001</v>
      </c>
    </row>
    <row r="259" ht="15.75" customHeight="1">
      <c r="A259" s="2" t="s">
        <v>86</v>
      </c>
      <c r="B259" s="3">
        <v>45689.0</v>
      </c>
      <c r="C259" s="2" t="s">
        <v>24</v>
      </c>
      <c r="D259" s="2" t="s">
        <v>28</v>
      </c>
      <c r="E259" s="2">
        <v>28670.43</v>
      </c>
      <c r="F259" s="2">
        <v>7574.0</v>
      </c>
      <c r="G259" s="2">
        <v>0.114</v>
      </c>
      <c r="H259" s="2">
        <v>19.0</v>
      </c>
      <c r="I259" s="2">
        <v>82.7</v>
      </c>
      <c r="J259" s="2">
        <v>2.74</v>
      </c>
      <c r="K259" s="2">
        <v>0.0</v>
      </c>
      <c r="L259" s="2">
        <v>4.6</v>
      </c>
      <c r="M259" s="2">
        <v>697888.09</v>
      </c>
      <c r="N259" s="2">
        <v>116249.87</v>
      </c>
      <c r="O259" s="2">
        <f t="shared" si="1"/>
        <v>0</v>
      </c>
      <c r="P259" s="2">
        <f t="shared" si="2"/>
        <v>0</v>
      </c>
      <c r="Q259" s="2">
        <f t="shared" si="3"/>
        <v>1</v>
      </c>
      <c r="R259" s="2">
        <f t="shared" si="4"/>
        <v>0</v>
      </c>
      <c r="S259" s="2">
        <f t="shared" si="5"/>
        <v>0</v>
      </c>
      <c r="T259" s="2">
        <f t="shared" si="6"/>
        <v>1</v>
      </c>
      <c r="U259" s="2">
        <f t="shared" si="7"/>
        <v>677037.2442</v>
      </c>
      <c r="V259" s="2">
        <f t="shared" si="8"/>
        <v>20850.84575</v>
      </c>
    </row>
    <row r="260" ht="15.75" customHeight="1">
      <c r="A260" s="2" t="s">
        <v>86</v>
      </c>
      <c r="B260" s="3">
        <v>45717.0</v>
      </c>
      <c r="C260" s="2" t="s">
        <v>24</v>
      </c>
      <c r="D260" s="2" t="s">
        <v>28</v>
      </c>
      <c r="E260" s="2">
        <v>44189.34</v>
      </c>
      <c r="F260" s="2">
        <v>8634.0</v>
      </c>
      <c r="G260" s="2">
        <v>0.143</v>
      </c>
      <c r="H260" s="2">
        <v>19.0</v>
      </c>
      <c r="I260" s="2">
        <v>87.5</v>
      </c>
      <c r="J260" s="2">
        <v>3.69</v>
      </c>
      <c r="K260" s="2">
        <v>0.0</v>
      </c>
      <c r="L260" s="2">
        <v>4.4</v>
      </c>
      <c r="M260" s="2">
        <v>746115.59</v>
      </c>
      <c r="N260" s="2">
        <v>94662.96</v>
      </c>
      <c r="O260" s="2">
        <f t="shared" si="1"/>
        <v>0</v>
      </c>
      <c r="P260" s="2">
        <f t="shared" si="2"/>
        <v>0</v>
      </c>
      <c r="Q260" s="2">
        <f t="shared" si="3"/>
        <v>1</v>
      </c>
      <c r="R260" s="2">
        <f t="shared" si="4"/>
        <v>0</v>
      </c>
      <c r="S260" s="2">
        <f t="shared" si="5"/>
        <v>0</v>
      </c>
      <c r="T260" s="2">
        <f t="shared" si="6"/>
        <v>1</v>
      </c>
      <c r="U260" s="2">
        <f t="shared" si="7"/>
        <v>744870.4285</v>
      </c>
      <c r="V260" s="2">
        <f t="shared" si="8"/>
        <v>1245.161466</v>
      </c>
    </row>
    <row r="261" ht="15.75" customHeight="1">
      <c r="A261" s="2" t="s">
        <v>86</v>
      </c>
      <c r="B261" s="3">
        <v>45748.0</v>
      </c>
      <c r="C261" s="2" t="s">
        <v>24</v>
      </c>
      <c r="D261" s="2" t="s">
        <v>28</v>
      </c>
      <c r="E261" s="2">
        <v>38397.82</v>
      </c>
      <c r="F261" s="2">
        <v>7836.0</v>
      </c>
      <c r="G261" s="2">
        <v>0.007</v>
      </c>
      <c r="H261" s="2">
        <v>21.0</v>
      </c>
      <c r="I261" s="2">
        <v>92.2</v>
      </c>
      <c r="J261" s="2">
        <v>1.82</v>
      </c>
      <c r="K261" s="2">
        <v>0.0</v>
      </c>
      <c r="L261" s="2">
        <v>3.6</v>
      </c>
      <c r="M261" s="2">
        <v>776110.32</v>
      </c>
      <c r="N261" s="2">
        <v>139676.21</v>
      </c>
      <c r="O261" s="2">
        <f t="shared" si="1"/>
        <v>0</v>
      </c>
      <c r="P261" s="2">
        <f t="shared" si="2"/>
        <v>0</v>
      </c>
      <c r="Q261" s="2">
        <f t="shared" si="3"/>
        <v>1</v>
      </c>
      <c r="R261" s="2">
        <f t="shared" si="4"/>
        <v>0</v>
      </c>
      <c r="S261" s="2">
        <f t="shared" si="5"/>
        <v>0</v>
      </c>
      <c r="T261" s="2">
        <f t="shared" si="6"/>
        <v>1</v>
      </c>
      <c r="U261" s="2">
        <f t="shared" si="7"/>
        <v>724220.2682</v>
      </c>
      <c r="V261" s="2">
        <f t="shared" si="8"/>
        <v>51890.05183</v>
      </c>
    </row>
    <row r="262" ht="15.75" customHeight="1">
      <c r="A262" s="2" t="s">
        <v>87</v>
      </c>
      <c r="B262" s="3">
        <v>45658.0</v>
      </c>
      <c r="C262" s="2" t="s">
        <v>27</v>
      </c>
      <c r="D262" s="2" t="s">
        <v>18</v>
      </c>
      <c r="E262" s="2">
        <v>14519.37</v>
      </c>
      <c r="F262" s="2">
        <v>3047.0</v>
      </c>
      <c r="G262" s="2">
        <v>0.135</v>
      </c>
      <c r="H262" s="2">
        <v>10.0</v>
      </c>
      <c r="I262" s="2">
        <v>90.3</v>
      </c>
      <c r="J262" s="2">
        <v>6.62</v>
      </c>
      <c r="K262" s="2">
        <v>0.0</v>
      </c>
      <c r="L262" s="2">
        <v>4.2</v>
      </c>
      <c r="M262" s="2">
        <v>528852.62</v>
      </c>
      <c r="N262" s="2">
        <v>68426.21</v>
      </c>
      <c r="O262" s="2">
        <f t="shared" si="1"/>
        <v>0</v>
      </c>
      <c r="P262" s="2">
        <f t="shared" si="2"/>
        <v>0</v>
      </c>
      <c r="Q262" s="2">
        <f t="shared" si="3"/>
        <v>0</v>
      </c>
      <c r="R262" s="2">
        <f t="shared" si="4"/>
        <v>0</v>
      </c>
      <c r="S262" s="2">
        <f t="shared" si="5"/>
        <v>1</v>
      </c>
      <c r="T262" s="2">
        <f t="shared" si="6"/>
        <v>0</v>
      </c>
      <c r="U262" s="2">
        <f t="shared" si="7"/>
        <v>523906.1854</v>
      </c>
      <c r="V262" s="2">
        <f t="shared" si="8"/>
        <v>4946.434581</v>
      </c>
    </row>
    <row r="263" ht="15.75" customHeight="1">
      <c r="A263" s="2" t="s">
        <v>87</v>
      </c>
      <c r="B263" s="3">
        <v>45689.0</v>
      </c>
      <c r="C263" s="2" t="s">
        <v>27</v>
      </c>
      <c r="D263" s="2" t="s">
        <v>18</v>
      </c>
      <c r="E263" s="2">
        <v>43288.2</v>
      </c>
      <c r="F263" s="2">
        <v>4783.0</v>
      </c>
      <c r="G263" s="2">
        <v>0.169</v>
      </c>
      <c r="H263" s="2">
        <v>13.0</v>
      </c>
      <c r="I263" s="2">
        <v>87.3</v>
      </c>
      <c r="J263" s="2"/>
      <c r="K263" s="2">
        <v>0.0</v>
      </c>
      <c r="L263" s="2">
        <v>4.2</v>
      </c>
      <c r="M263" s="2">
        <v>605751.33</v>
      </c>
      <c r="N263" s="2">
        <v>60685.53</v>
      </c>
      <c r="O263" s="2">
        <f t="shared" si="1"/>
        <v>0</v>
      </c>
      <c r="P263" s="2">
        <f t="shared" si="2"/>
        <v>0</v>
      </c>
      <c r="Q263" s="2">
        <f t="shared" si="3"/>
        <v>0</v>
      </c>
      <c r="R263" s="2">
        <f t="shared" si="4"/>
        <v>0</v>
      </c>
      <c r="S263" s="2">
        <f t="shared" si="5"/>
        <v>1</v>
      </c>
      <c r="T263" s="2">
        <f t="shared" si="6"/>
        <v>0</v>
      </c>
      <c r="U263" s="2">
        <f t="shared" si="7"/>
        <v>608368.6248</v>
      </c>
      <c r="V263" s="2">
        <f t="shared" si="8"/>
        <v>-2617.294812</v>
      </c>
    </row>
    <row r="264" ht="15.75" customHeight="1">
      <c r="A264" s="2" t="s">
        <v>87</v>
      </c>
      <c r="B264" s="3">
        <v>45717.0</v>
      </c>
      <c r="C264" s="2" t="s">
        <v>27</v>
      </c>
      <c r="D264" s="2" t="s">
        <v>18</v>
      </c>
      <c r="E264" s="2">
        <v>51450.55</v>
      </c>
      <c r="F264" s="2">
        <v>4902.0</v>
      </c>
      <c r="G264" s="2">
        <v>0.086</v>
      </c>
      <c r="H264" s="2">
        <v>11.0</v>
      </c>
      <c r="I264" s="2">
        <v>83.7</v>
      </c>
      <c r="J264" s="2">
        <v>6.92</v>
      </c>
      <c r="K264" s="2">
        <v>1.0</v>
      </c>
      <c r="L264" s="2">
        <v>4.2</v>
      </c>
      <c r="M264" s="2">
        <v>677640.65</v>
      </c>
      <c r="N264" s="2">
        <v>111610.89</v>
      </c>
      <c r="O264" s="2">
        <f t="shared" si="1"/>
        <v>0</v>
      </c>
      <c r="P264" s="2">
        <f t="shared" si="2"/>
        <v>0</v>
      </c>
      <c r="Q264" s="2">
        <f t="shared" si="3"/>
        <v>0</v>
      </c>
      <c r="R264" s="2">
        <f t="shared" si="4"/>
        <v>0</v>
      </c>
      <c r="S264" s="2">
        <f t="shared" si="5"/>
        <v>1</v>
      </c>
      <c r="T264" s="2">
        <f t="shared" si="6"/>
        <v>0</v>
      </c>
      <c r="U264" s="2">
        <f t="shared" si="7"/>
        <v>611935.5034</v>
      </c>
      <c r="V264" s="2">
        <f t="shared" si="8"/>
        <v>65705.14661</v>
      </c>
    </row>
    <row r="265" ht="15.75" customHeight="1">
      <c r="A265" s="2" t="s">
        <v>87</v>
      </c>
      <c r="B265" s="3">
        <v>45748.0</v>
      </c>
      <c r="C265" s="2" t="s">
        <v>27</v>
      </c>
      <c r="D265" s="2" t="s">
        <v>18</v>
      </c>
      <c r="E265" s="2">
        <v>58688.26</v>
      </c>
      <c r="F265" s="2">
        <v>4022.0</v>
      </c>
      <c r="G265" s="2">
        <v>0.217</v>
      </c>
      <c r="H265" s="2">
        <v>12.0</v>
      </c>
      <c r="I265" s="2">
        <v>93.8</v>
      </c>
      <c r="J265" s="2">
        <v>11.78</v>
      </c>
      <c r="K265" s="2">
        <v>0.0</v>
      </c>
      <c r="L265" s="2">
        <v>3.7</v>
      </c>
      <c r="M265" s="2">
        <v>636613.23</v>
      </c>
      <c r="N265" s="2">
        <v>78908.35</v>
      </c>
      <c r="O265" s="2">
        <f t="shared" si="1"/>
        <v>0</v>
      </c>
      <c r="P265" s="2">
        <f t="shared" si="2"/>
        <v>0</v>
      </c>
      <c r="Q265" s="2">
        <f t="shared" si="3"/>
        <v>0</v>
      </c>
      <c r="R265" s="2">
        <f t="shared" si="4"/>
        <v>0</v>
      </c>
      <c r="S265" s="2">
        <f t="shared" si="5"/>
        <v>1</v>
      </c>
      <c r="T265" s="2">
        <f t="shared" si="6"/>
        <v>0</v>
      </c>
      <c r="U265" s="2">
        <f t="shared" si="7"/>
        <v>619180.6735</v>
      </c>
      <c r="V265" s="2">
        <f t="shared" si="8"/>
        <v>17432.55652</v>
      </c>
    </row>
    <row r="266" ht="15.75" customHeight="1">
      <c r="A266" s="2" t="s">
        <v>88</v>
      </c>
      <c r="B266" s="3">
        <v>45658.0</v>
      </c>
      <c r="C266" s="2" t="s">
        <v>15</v>
      </c>
      <c r="D266" s="2" t="s">
        <v>18</v>
      </c>
      <c r="E266" s="2">
        <v>58981.91</v>
      </c>
      <c r="F266" s="2">
        <v>7324.0</v>
      </c>
      <c r="G266" s="2">
        <v>0.094</v>
      </c>
      <c r="H266" s="2">
        <v>15.0</v>
      </c>
      <c r="I266" s="2">
        <v>95.8</v>
      </c>
      <c r="J266" s="2">
        <v>0.5</v>
      </c>
      <c r="K266" s="2">
        <v>0.0</v>
      </c>
      <c r="L266" s="2">
        <v>3.5</v>
      </c>
      <c r="M266" s="2">
        <v>708985.19</v>
      </c>
      <c r="N266" s="2">
        <v>125368.16</v>
      </c>
      <c r="O266" s="2">
        <f t="shared" si="1"/>
        <v>1</v>
      </c>
      <c r="P266" s="2">
        <f t="shared" si="2"/>
        <v>0</v>
      </c>
      <c r="Q266" s="2">
        <f t="shared" si="3"/>
        <v>0</v>
      </c>
      <c r="R266" s="2">
        <f t="shared" si="4"/>
        <v>0</v>
      </c>
      <c r="S266" s="2">
        <f t="shared" si="5"/>
        <v>1</v>
      </c>
      <c r="T266" s="2">
        <f t="shared" si="6"/>
        <v>0</v>
      </c>
      <c r="U266" s="2">
        <f t="shared" si="7"/>
        <v>719502.4424</v>
      </c>
      <c r="V266" s="2">
        <f t="shared" si="8"/>
        <v>-10517.25237</v>
      </c>
    </row>
    <row r="267" ht="15.75" customHeight="1">
      <c r="A267" s="2" t="s">
        <v>88</v>
      </c>
      <c r="B267" s="3">
        <v>45689.0</v>
      </c>
      <c r="C267" s="2" t="s">
        <v>15</v>
      </c>
      <c r="D267" s="2" t="s">
        <v>18</v>
      </c>
      <c r="E267" s="2">
        <v>73454.54</v>
      </c>
      <c r="F267" s="2">
        <v>8129.0</v>
      </c>
      <c r="G267" s="2">
        <v>0.211</v>
      </c>
      <c r="H267" s="2">
        <v>20.0</v>
      </c>
      <c r="I267" s="2">
        <v>85.2</v>
      </c>
      <c r="J267" s="2">
        <v>0.88</v>
      </c>
      <c r="K267" s="2">
        <v>0.0</v>
      </c>
      <c r="L267" s="2">
        <v>3.7</v>
      </c>
      <c r="M267" s="2">
        <v>767792.94</v>
      </c>
      <c r="N267" s="2">
        <v>96235.77</v>
      </c>
      <c r="O267" s="2">
        <f t="shared" si="1"/>
        <v>1</v>
      </c>
      <c r="P267" s="2">
        <f t="shared" si="2"/>
        <v>0</v>
      </c>
      <c r="Q267" s="2">
        <f t="shared" si="3"/>
        <v>0</v>
      </c>
      <c r="R267" s="2">
        <f t="shared" si="4"/>
        <v>0</v>
      </c>
      <c r="S267" s="2">
        <f t="shared" si="5"/>
        <v>1</v>
      </c>
      <c r="T267" s="2">
        <f t="shared" si="6"/>
        <v>0</v>
      </c>
      <c r="U267" s="2">
        <f t="shared" si="7"/>
        <v>734060.1817</v>
      </c>
      <c r="V267" s="2">
        <f t="shared" si="8"/>
        <v>33732.75833</v>
      </c>
    </row>
    <row r="268" ht="15.75" customHeight="1">
      <c r="A268" s="2" t="s">
        <v>88</v>
      </c>
      <c r="B268" s="3">
        <v>45717.0</v>
      </c>
      <c r="C268" s="2" t="s">
        <v>15</v>
      </c>
      <c r="D268" s="2" t="s">
        <v>18</v>
      </c>
      <c r="E268" s="2">
        <v>56602.39</v>
      </c>
      <c r="F268" s="2">
        <v>7969.0</v>
      </c>
      <c r="G268" s="2">
        <v>0.17</v>
      </c>
      <c r="H268" s="2">
        <v>21.0</v>
      </c>
      <c r="I268" s="2">
        <v>88.3</v>
      </c>
      <c r="J268" s="2">
        <v>2.25</v>
      </c>
      <c r="K268" s="2">
        <v>0.0</v>
      </c>
      <c r="L268" s="2">
        <v>3.7</v>
      </c>
      <c r="M268" s="2">
        <v>745580.51</v>
      </c>
      <c r="N268" s="2">
        <v>116273.68</v>
      </c>
      <c r="O268" s="2">
        <f t="shared" si="1"/>
        <v>1</v>
      </c>
      <c r="P268" s="2">
        <f t="shared" si="2"/>
        <v>0</v>
      </c>
      <c r="Q268" s="2">
        <f t="shared" si="3"/>
        <v>0</v>
      </c>
      <c r="R268" s="2">
        <f t="shared" si="4"/>
        <v>0</v>
      </c>
      <c r="S268" s="2">
        <f t="shared" si="5"/>
        <v>1</v>
      </c>
      <c r="T268" s="2">
        <f t="shared" si="6"/>
        <v>0</v>
      </c>
      <c r="U268" s="2">
        <f t="shared" si="7"/>
        <v>717388.2434</v>
      </c>
      <c r="V268" s="2">
        <f t="shared" si="8"/>
        <v>28192.26658</v>
      </c>
    </row>
    <row r="269" ht="15.75" customHeight="1">
      <c r="A269" s="2" t="s">
        <v>88</v>
      </c>
      <c r="B269" s="3">
        <v>45748.0</v>
      </c>
      <c r="C269" s="2" t="s">
        <v>15</v>
      </c>
      <c r="D269" s="2" t="s">
        <v>18</v>
      </c>
      <c r="E269" s="2">
        <v>67722.29</v>
      </c>
      <c r="F269" s="2">
        <v>7240.0</v>
      </c>
      <c r="G269" s="2">
        <v>0.026</v>
      </c>
      <c r="H269" s="2">
        <v>15.0</v>
      </c>
      <c r="I269" s="2">
        <v>92.9</v>
      </c>
      <c r="J269" s="2">
        <v>0.29</v>
      </c>
      <c r="K269" s="2">
        <v>0.0</v>
      </c>
      <c r="L269" s="2">
        <v>3.5</v>
      </c>
      <c r="M269" s="2">
        <v>762328.31</v>
      </c>
      <c r="N269" s="2">
        <v>159158.19</v>
      </c>
      <c r="O269" s="2">
        <f t="shared" si="1"/>
        <v>1</v>
      </c>
      <c r="P269" s="2">
        <f t="shared" si="2"/>
        <v>0</v>
      </c>
      <c r="Q269" s="2">
        <f t="shared" si="3"/>
        <v>0</v>
      </c>
      <c r="R269" s="2">
        <f t="shared" si="4"/>
        <v>0</v>
      </c>
      <c r="S269" s="2">
        <f t="shared" si="5"/>
        <v>1</v>
      </c>
      <c r="T269" s="2">
        <f t="shared" si="6"/>
        <v>0</v>
      </c>
      <c r="U269" s="2">
        <f t="shared" si="7"/>
        <v>718852.7135</v>
      </c>
      <c r="V269" s="2">
        <f t="shared" si="8"/>
        <v>43475.59649</v>
      </c>
    </row>
    <row r="270" ht="15.75" customHeight="1">
      <c r="A270" s="2" t="s">
        <v>89</v>
      </c>
      <c r="B270" s="3">
        <v>45658.0</v>
      </c>
      <c r="C270" s="2" t="s">
        <v>15</v>
      </c>
      <c r="D270" s="2" t="s">
        <v>28</v>
      </c>
      <c r="E270" s="2">
        <v>48752.92</v>
      </c>
      <c r="F270" s="2">
        <v>8052.0</v>
      </c>
      <c r="G270" s="2">
        <v>0.106</v>
      </c>
      <c r="H270" s="2">
        <v>16.0</v>
      </c>
      <c r="I270" s="2">
        <v>94.9</v>
      </c>
      <c r="J270" s="2">
        <v>0.65</v>
      </c>
      <c r="K270" s="2">
        <v>0.0</v>
      </c>
      <c r="L270" s="2">
        <v>3.6</v>
      </c>
      <c r="M270" s="2">
        <v>660633.99</v>
      </c>
      <c r="N270" s="2">
        <v>118768.66</v>
      </c>
      <c r="O270" s="2">
        <f t="shared" si="1"/>
        <v>1</v>
      </c>
      <c r="P270" s="2">
        <f t="shared" si="2"/>
        <v>0</v>
      </c>
      <c r="Q270" s="2">
        <f t="shared" si="3"/>
        <v>0</v>
      </c>
      <c r="R270" s="2">
        <f t="shared" si="4"/>
        <v>0</v>
      </c>
      <c r="S270" s="2">
        <f t="shared" si="5"/>
        <v>0</v>
      </c>
      <c r="T270" s="2">
        <f t="shared" si="6"/>
        <v>1</v>
      </c>
      <c r="U270" s="2">
        <f t="shared" si="7"/>
        <v>729487.7636</v>
      </c>
      <c r="V270" s="2">
        <f t="shared" si="8"/>
        <v>-68853.77359</v>
      </c>
    </row>
    <row r="271" ht="15.75" customHeight="1">
      <c r="A271" s="2" t="s">
        <v>89</v>
      </c>
      <c r="B271" s="3">
        <v>45689.0</v>
      </c>
      <c r="C271" s="2" t="s">
        <v>15</v>
      </c>
      <c r="D271" s="2" t="s">
        <v>28</v>
      </c>
      <c r="E271" s="2">
        <v>23914.97</v>
      </c>
      <c r="F271" s="2">
        <v>8018.0</v>
      </c>
      <c r="G271" s="2">
        <v>0.139</v>
      </c>
      <c r="H271" s="2">
        <v>20.0</v>
      </c>
      <c r="I271" s="2">
        <v>89.0</v>
      </c>
      <c r="J271" s="2">
        <v>0.2</v>
      </c>
      <c r="K271" s="2">
        <v>0.0</v>
      </c>
      <c r="L271" s="2">
        <v>3.5</v>
      </c>
      <c r="M271" s="2">
        <v>739374.56</v>
      </c>
      <c r="N271" s="2">
        <v>121032.29</v>
      </c>
      <c r="O271" s="2">
        <f t="shared" si="1"/>
        <v>1</v>
      </c>
      <c r="P271" s="2">
        <f t="shared" si="2"/>
        <v>0</v>
      </c>
      <c r="Q271" s="2">
        <f t="shared" si="3"/>
        <v>0</v>
      </c>
      <c r="R271" s="2">
        <f t="shared" si="4"/>
        <v>0</v>
      </c>
      <c r="S271" s="2">
        <f t="shared" si="5"/>
        <v>0</v>
      </c>
      <c r="T271" s="2">
        <f t="shared" si="6"/>
        <v>1</v>
      </c>
      <c r="U271" s="2">
        <f t="shared" si="7"/>
        <v>682247.8478</v>
      </c>
      <c r="V271" s="2">
        <f t="shared" si="8"/>
        <v>57126.71218</v>
      </c>
    </row>
    <row r="272" ht="15.75" customHeight="1">
      <c r="A272" s="2" t="s">
        <v>89</v>
      </c>
      <c r="B272" s="3">
        <v>45717.0</v>
      </c>
      <c r="C272" s="2" t="s">
        <v>15</v>
      </c>
      <c r="D272" s="2" t="s">
        <v>28</v>
      </c>
      <c r="E272" s="2">
        <v>61995.3</v>
      </c>
      <c r="F272" s="2">
        <v>10192.0</v>
      </c>
      <c r="G272" s="2">
        <v>0.198</v>
      </c>
      <c r="H272" s="2">
        <v>21.0</v>
      </c>
      <c r="I272" s="2">
        <v>87.6</v>
      </c>
      <c r="J272" s="2">
        <v>3.63</v>
      </c>
      <c r="K272" s="2">
        <v>1.0</v>
      </c>
      <c r="L272" s="2">
        <v>3.8</v>
      </c>
      <c r="M272" s="2">
        <v>799756.46</v>
      </c>
      <c r="N272" s="2">
        <v>105052.93</v>
      </c>
      <c r="O272" s="2">
        <f t="shared" si="1"/>
        <v>1</v>
      </c>
      <c r="P272" s="2">
        <f t="shared" si="2"/>
        <v>0</v>
      </c>
      <c r="Q272" s="2">
        <f t="shared" si="3"/>
        <v>0</v>
      </c>
      <c r="R272" s="2">
        <f t="shared" si="4"/>
        <v>0</v>
      </c>
      <c r="S272" s="2">
        <f t="shared" si="5"/>
        <v>0</v>
      </c>
      <c r="T272" s="2">
        <f t="shared" si="6"/>
        <v>1</v>
      </c>
      <c r="U272" s="2">
        <f t="shared" si="7"/>
        <v>797097.671</v>
      </c>
      <c r="V272" s="2">
        <f t="shared" si="8"/>
        <v>2658.788952</v>
      </c>
    </row>
    <row r="273" ht="15.75" customHeight="1">
      <c r="A273" s="2" t="s">
        <v>89</v>
      </c>
      <c r="B273" s="3">
        <v>45748.0</v>
      </c>
      <c r="C273" s="2" t="s">
        <v>15</v>
      </c>
      <c r="D273" s="2" t="s">
        <v>28</v>
      </c>
      <c r="E273" s="2">
        <v>29344.93</v>
      </c>
      <c r="F273" s="2">
        <v>7446.0</v>
      </c>
      <c r="G273" s="2">
        <v>0.111</v>
      </c>
      <c r="H273" s="2">
        <v>15.0</v>
      </c>
      <c r="I273" s="2">
        <v>86.2</v>
      </c>
      <c r="J273" s="2">
        <v>0.2</v>
      </c>
      <c r="K273" s="2">
        <v>0.0</v>
      </c>
      <c r="L273" s="2">
        <v>3.2</v>
      </c>
      <c r="M273" s="2">
        <v>593343.0</v>
      </c>
      <c r="N273" s="2">
        <v>82832.24</v>
      </c>
      <c r="O273" s="2">
        <f t="shared" si="1"/>
        <v>1</v>
      </c>
      <c r="P273" s="2">
        <f t="shared" si="2"/>
        <v>0</v>
      </c>
      <c r="Q273" s="2">
        <f t="shared" si="3"/>
        <v>0</v>
      </c>
      <c r="R273" s="2">
        <f t="shared" si="4"/>
        <v>0</v>
      </c>
      <c r="S273" s="2">
        <f t="shared" si="5"/>
        <v>0</v>
      </c>
      <c r="T273" s="2">
        <f t="shared" si="6"/>
        <v>1</v>
      </c>
      <c r="U273" s="2">
        <f t="shared" si="7"/>
        <v>661426.3872</v>
      </c>
      <c r="V273" s="2">
        <f t="shared" si="8"/>
        <v>-68083.38717</v>
      </c>
    </row>
    <row r="274" ht="15.75" customHeight="1">
      <c r="A274" s="2" t="s">
        <v>90</v>
      </c>
      <c r="B274" s="3">
        <v>45658.0</v>
      </c>
      <c r="C274" s="2" t="s">
        <v>27</v>
      </c>
      <c r="D274" s="2" t="s">
        <v>18</v>
      </c>
      <c r="E274" s="2">
        <v>50532.17</v>
      </c>
      <c r="F274" s="2">
        <v>5689.0</v>
      </c>
      <c r="G274" s="2">
        <v>0.052</v>
      </c>
      <c r="H274" s="2">
        <v>17.0</v>
      </c>
      <c r="I274" s="2">
        <v>85.6</v>
      </c>
      <c r="J274" s="2">
        <v>6.23</v>
      </c>
      <c r="K274" s="2">
        <v>0.0</v>
      </c>
      <c r="L274" s="2">
        <v>3.3</v>
      </c>
      <c r="M274" s="2">
        <v>645039.97</v>
      </c>
      <c r="N274" s="2">
        <v>83093.33</v>
      </c>
      <c r="O274" s="2">
        <f t="shared" si="1"/>
        <v>0</v>
      </c>
      <c r="P274" s="2">
        <f t="shared" si="2"/>
        <v>0</v>
      </c>
      <c r="Q274" s="2">
        <f t="shared" si="3"/>
        <v>0</v>
      </c>
      <c r="R274" s="2">
        <f t="shared" si="4"/>
        <v>0</v>
      </c>
      <c r="S274" s="2">
        <f t="shared" si="5"/>
        <v>1</v>
      </c>
      <c r="T274" s="2">
        <f t="shared" si="6"/>
        <v>0</v>
      </c>
      <c r="U274" s="2">
        <f t="shared" si="7"/>
        <v>642853.4453</v>
      </c>
      <c r="V274" s="2">
        <f t="shared" si="8"/>
        <v>2186.524733</v>
      </c>
    </row>
    <row r="275" ht="15.75" customHeight="1">
      <c r="A275" s="2" t="s">
        <v>90</v>
      </c>
      <c r="B275" s="3">
        <v>45689.0</v>
      </c>
      <c r="C275" s="2" t="s">
        <v>27</v>
      </c>
      <c r="D275" s="2" t="s">
        <v>18</v>
      </c>
      <c r="E275" s="2">
        <v>17562.57</v>
      </c>
      <c r="F275" s="2">
        <v>3326.0</v>
      </c>
      <c r="G275" s="2">
        <v>0.153</v>
      </c>
      <c r="H275" s="2">
        <v>14.0</v>
      </c>
      <c r="I275" s="2">
        <v>88.1</v>
      </c>
      <c r="J275" s="2">
        <v>1.04</v>
      </c>
      <c r="K275" s="2">
        <v>0.0</v>
      </c>
      <c r="L275" s="2">
        <v>3.1</v>
      </c>
      <c r="M275" s="2">
        <v>561597.33</v>
      </c>
      <c r="N275" s="2">
        <v>75072.75</v>
      </c>
      <c r="O275" s="2">
        <f t="shared" si="1"/>
        <v>0</v>
      </c>
      <c r="P275" s="2">
        <f t="shared" si="2"/>
        <v>0</v>
      </c>
      <c r="Q275" s="2">
        <f t="shared" si="3"/>
        <v>0</v>
      </c>
      <c r="R275" s="2">
        <f t="shared" si="4"/>
        <v>0</v>
      </c>
      <c r="S275" s="2">
        <f t="shared" si="5"/>
        <v>1</v>
      </c>
      <c r="T275" s="2">
        <f t="shared" si="6"/>
        <v>0</v>
      </c>
      <c r="U275" s="2">
        <f t="shared" si="7"/>
        <v>530764.885</v>
      </c>
      <c r="V275" s="2">
        <f t="shared" si="8"/>
        <v>30832.44497</v>
      </c>
    </row>
    <row r="276" ht="15.75" customHeight="1">
      <c r="A276" s="2" t="s">
        <v>90</v>
      </c>
      <c r="B276" s="3">
        <v>45717.0</v>
      </c>
      <c r="C276" s="2" t="s">
        <v>27</v>
      </c>
      <c r="D276" s="2" t="s">
        <v>18</v>
      </c>
      <c r="E276" s="2">
        <v>47648.71</v>
      </c>
      <c r="F276" s="2">
        <v>5767.0</v>
      </c>
      <c r="G276" s="2">
        <v>0.141</v>
      </c>
      <c r="H276" s="2">
        <v>17.0</v>
      </c>
      <c r="I276" s="2">
        <v>89.8</v>
      </c>
      <c r="J276" s="2">
        <v>1.76</v>
      </c>
      <c r="K276" s="2">
        <v>0.0</v>
      </c>
      <c r="L276" s="2">
        <v>3.1</v>
      </c>
      <c r="M276" s="2">
        <v>635837.74</v>
      </c>
      <c r="N276" s="2">
        <v>114740.64</v>
      </c>
      <c r="O276" s="2">
        <f t="shared" si="1"/>
        <v>0</v>
      </c>
      <c r="P276" s="2">
        <f t="shared" si="2"/>
        <v>0</v>
      </c>
      <c r="Q276" s="2">
        <f t="shared" si="3"/>
        <v>0</v>
      </c>
      <c r="R276" s="2">
        <f t="shared" si="4"/>
        <v>0</v>
      </c>
      <c r="S276" s="2">
        <f t="shared" si="5"/>
        <v>1</v>
      </c>
      <c r="T276" s="2">
        <f t="shared" si="6"/>
        <v>0</v>
      </c>
      <c r="U276" s="2">
        <f t="shared" si="7"/>
        <v>653910.7234</v>
      </c>
      <c r="V276" s="2">
        <f t="shared" si="8"/>
        <v>-18072.98335</v>
      </c>
    </row>
    <row r="277" ht="15.75" customHeight="1">
      <c r="A277" s="2" t="s">
        <v>90</v>
      </c>
      <c r="B277" s="3">
        <v>45748.0</v>
      </c>
      <c r="C277" s="2" t="s">
        <v>27</v>
      </c>
      <c r="D277" s="2" t="s">
        <v>18</v>
      </c>
      <c r="E277" s="2">
        <v>38297.58</v>
      </c>
      <c r="F277" s="2">
        <v>5893.0</v>
      </c>
      <c r="G277" s="2">
        <v>0.247</v>
      </c>
      <c r="H277" s="2">
        <v>18.0</v>
      </c>
      <c r="I277" s="2">
        <v>77.6</v>
      </c>
      <c r="J277" s="2">
        <v>2.86</v>
      </c>
      <c r="K277" s="2">
        <v>0.0</v>
      </c>
      <c r="L277" s="2">
        <v>3.0</v>
      </c>
      <c r="M277" s="2">
        <v>686737.87</v>
      </c>
      <c r="N277" s="2">
        <v>83839.67</v>
      </c>
      <c r="O277" s="2">
        <f t="shared" si="1"/>
        <v>0</v>
      </c>
      <c r="P277" s="2">
        <f t="shared" si="2"/>
        <v>0</v>
      </c>
      <c r="Q277" s="2">
        <f t="shared" si="3"/>
        <v>0</v>
      </c>
      <c r="R277" s="2">
        <f t="shared" si="4"/>
        <v>0</v>
      </c>
      <c r="S277" s="2">
        <f t="shared" si="5"/>
        <v>1</v>
      </c>
      <c r="T277" s="2">
        <f t="shared" si="6"/>
        <v>0</v>
      </c>
      <c r="U277" s="2">
        <f t="shared" si="7"/>
        <v>612705.39</v>
      </c>
      <c r="V277" s="2">
        <f t="shared" si="8"/>
        <v>74032.48001</v>
      </c>
    </row>
    <row r="278" ht="15.75" customHeight="1">
      <c r="A278" s="2" t="s">
        <v>91</v>
      </c>
      <c r="B278" s="3">
        <v>45658.0</v>
      </c>
      <c r="C278" s="2" t="s">
        <v>24</v>
      </c>
      <c r="D278" s="2" t="s">
        <v>16</v>
      </c>
      <c r="E278" s="2">
        <v>61784.11</v>
      </c>
      <c r="F278" s="2">
        <v>8564.0</v>
      </c>
      <c r="G278" s="2">
        <v>0.13</v>
      </c>
      <c r="H278" s="2">
        <v>17.0</v>
      </c>
      <c r="I278" s="2">
        <v>87.4</v>
      </c>
      <c r="J278" s="2">
        <v>18.14</v>
      </c>
      <c r="K278" s="2">
        <v>1.0</v>
      </c>
      <c r="L278" s="2">
        <v>3.4</v>
      </c>
      <c r="M278" s="2">
        <v>673076.34</v>
      </c>
      <c r="N278" s="2">
        <v>93899.76</v>
      </c>
      <c r="O278" s="2">
        <f t="shared" si="1"/>
        <v>0</v>
      </c>
      <c r="P278" s="2">
        <f t="shared" si="2"/>
        <v>0</v>
      </c>
      <c r="Q278" s="2">
        <f t="shared" si="3"/>
        <v>1</v>
      </c>
      <c r="R278" s="2">
        <f t="shared" si="4"/>
        <v>0</v>
      </c>
      <c r="S278" s="2">
        <f t="shared" si="5"/>
        <v>0</v>
      </c>
      <c r="T278" s="2">
        <f t="shared" si="6"/>
        <v>0</v>
      </c>
      <c r="U278" s="2">
        <f t="shared" si="7"/>
        <v>763088.1779</v>
      </c>
      <c r="V278" s="2">
        <f t="shared" si="8"/>
        <v>-90011.83792</v>
      </c>
    </row>
    <row r="279" ht="15.75" customHeight="1">
      <c r="A279" s="2" t="s">
        <v>91</v>
      </c>
      <c r="B279" s="3">
        <v>45689.0</v>
      </c>
      <c r="C279" s="2" t="s">
        <v>24</v>
      </c>
      <c r="D279" s="2" t="s">
        <v>16</v>
      </c>
      <c r="E279" s="2">
        <v>36832.33</v>
      </c>
      <c r="F279" s="2">
        <v>8001.0</v>
      </c>
      <c r="G279" s="2">
        <v>0.0</v>
      </c>
      <c r="H279" s="2">
        <v>19.0</v>
      </c>
      <c r="I279" s="2">
        <v>88.7</v>
      </c>
      <c r="J279" s="2">
        <v>3.39</v>
      </c>
      <c r="K279" s="2">
        <v>0.0</v>
      </c>
      <c r="L279" s="2">
        <v>4.0</v>
      </c>
      <c r="M279" s="2">
        <v>738548.42</v>
      </c>
      <c r="N279" s="2">
        <v>134282.77</v>
      </c>
      <c r="O279" s="2">
        <f t="shared" si="1"/>
        <v>0</v>
      </c>
      <c r="P279" s="2">
        <f t="shared" si="2"/>
        <v>0</v>
      </c>
      <c r="Q279" s="2">
        <f t="shared" si="3"/>
        <v>1</v>
      </c>
      <c r="R279" s="2">
        <f t="shared" si="4"/>
        <v>0</v>
      </c>
      <c r="S279" s="2">
        <f t="shared" si="5"/>
        <v>0</v>
      </c>
      <c r="T279" s="2">
        <f t="shared" si="6"/>
        <v>0</v>
      </c>
      <c r="U279" s="2">
        <f t="shared" si="7"/>
        <v>718088.0391</v>
      </c>
      <c r="V279" s="2">
        <f t="shared" si="8"/>
        <v>20460.38095</v>
      </c>
    </row>
    <row r="280" ht="15.75" customHeight="1">
      <c r="A280" s="2" t="s">
        <v>91</v>
      </c>
      <c r="B280" s="3">
        <v>45717.0</v>
      </c>
      <c r="C280" s="2" t="s">
        <v>24</v>
      </c>
      <c r="D280" s="2" t="s">
        <v>16</v>
      </c>
      <c r="E280" s="2">
        <v>48609.41</v>
      </c>
      <c r="F280" s="2">
        <v>9324.0</v>
      </c>
      <c r="G280" s="2">
        <v>0.213</v>
      </c>
      <c r="H280" s="2">
        <v>18.0</v>
      </c>
      <c r="I280" s="2">
        <v>86.5</v>
      </c>
      <c r="J280" s="2">
        <v>1.44</v>
      </c>
      <c r="K280" s="2">
        <v>0.0</v>
      </c>
      <c r="L280" s="2">
        <v>3.9</v>
      </c>
      <c r="M280" s="2">
        <v>756619.77</v>
      </c>
      <c r="N280" s="2">
        <v>112057.69</v>
      </c>
      <c r="O280" s="2">
        <f t="shared" si="1"/>
        <v>0</v>
      </c>
      <c r="P280" s="2">
        <f t="shared" si="2"/>
        <v>0</v>
      </c>
      <c r="Q280" s="2">
        <f t="shared" si="3"/>
        <v>1</v>
      </c>
      <c r="R280" s="2">
        <f t="shared" si="4"/>
        <v>0</v>
      </c>
      <c r="S280" s="2">
        <f t="shared" si="5"/>
        <v>0</v>
      </c>
      <c r="T280" s="2">
        <f t="shared" si="6"/>
        <v>0</v>
      </c>
      <c r="U280" s="2">
        <f t="shared" si="7"/>
        <v>770663.1438</v>
      </c>
      <c r="V280" s="2">
        <f t="shared" si="8"/>
        <v>-14043.37377</v>
      </c>
    </row>
    <row r="281" ht="15.75" customHeight="1">
      <c r="A281" s="2" t="s">
        <v>91</v>
      </c>
      <c r="B281" s="3">
        <v>45748.0</v>
      </c>
      <c r="C281" s="2" t="s">
        <v>24</v>
      </c>
      <c r="D281" s="2" t="s">
        <v>16</v>
      </c>
      <c r="E281" s="2">
        <v>70284.06</v>
      </c>
      <c r="F281" s="2">
        <v>9109.0</v>
      </c>
      <c r="G281" s="2">
        <v>0.004</v>
      </c>
      <c r="H281" s="2">
        <v>23.0</v>
      </c>
      <c r="I281" s="2">
        <v>87.0</v>
      </c>
      <c r="J281" s="2">
        <v>3.65</v>
      </c>
      <c r="K281" s="2">
        <v>0.0</v>
      </c>
      <c r="L281" s="2">
        <v>3.7</v>
      </c>
      <c r="M281" s="2">
        <v>761122.42</v>
      </c>
      <c r="N281" s="2">
        <v>149802.04</v>
      </c>
      <c r="O281" s="2">
        <f t="shared" si="1"/>
        <v>0</v>
      </c>
      <c r="P281" s="2">
        <f t="shared" si="2"/>
        <v>0</v>
      </c>
      <c r="Q281" s="2">
        <f t="shared" si="3"/>
        <v>1</v>
      </c>
      <c r="R281" s="2">
        <f t="shared" si="4"/>
        <v>0</v>
      </c>
      <c r="S281" s="2">
        <f t="shared" si="5"/>
        <v>0</v>
      </c>
      <c r="T281" s="2">
        <f t="shared" si="6"/>
        <v>0</v>
      </c>
      <c r="U281" s="2">
        <f t="shared" si="7"/>
        <v>790500.4891</v>
      </c>
      <c r="V281" s="2">
        <f t="shared" si="8"/>
        <v>-29378.06911</v>
      </c>
    </row>
    <row r="282" ht="15.75" customHeight="1">
      <c r="A282" s="2" t="s">
        <v>92</v>
      </c>
      <c r="B282" s="3">
        <v>45658.0</v>
      </c>
      <c r="C282" s="2" t="s">
        <v>24</v>
      </c>
      <c r="D282" s="2" t="s">
        <v>18</v>
      </c>
      <c r="E282" s="2">
        <v>45940.39</v>
      </c>
      <c r="F282" s="2">
        <v>4022.0</v>
      </c>
      <c r="G282" s="2">
        <v>0.069</v>
      </c>
      <c r="H282" s="2">
        <v>10.0</v>
      </c>
      <c r="I282" s="2">
        <v>83.0</v>
      </c>
      <c r="J282" s="2">
        <v>1.23</v>
      </c>
      <c r="K282" s="2">
        <v>1.0</v>
      </c>
      <c r="L282" s="2">
        <v>3.8</v>
      </c>
      <c r="M282" s="2">
        <v>524899.57</v>
      </c>
      <c r="N282" s="2">
        <v>63619.98</v>
      </c>
      <c r="O282" s="2">
        <f t="shared" si="1"/>
        <v>0</v>
      </c>
      <c r="P282" s="2">
        <f t="shared" si="2"/>
        <v>0</v>
      </c>
      <c r="Q282" s="2">
        <f t="shared" si="3"/>
        <v>1</v>
      </c>
      <c r="R282" s="2">
        <f t="shared" si="4"/>
        <v>0</v>
      </c>
      <c r="S282" s="2">
        <f t="shared" si="5"/>
        <v>1</v>
      </c>
      <c r="T282" s="2">
        <f t="shared" si="6"/>
        <v>0</v>
      </c>
      <c r="U282" s="2">
        <f t="shared" si="7"/>
        <v>578073.796</v>
      </c>
      <c r="V282" s="2">
        <f t="shared" si="8"/>
        <v>-53174.226</v>
      </c>
    </row>
    <row r="283" ht="15.75" customHeight="1">
      <c r="A283" s="2" t="s">
        <v>92</v>
      </c>
      <c r="B283" s="3">
        <v>45689.0</v>
      </c>
      <c r="C283" s="2" t="s">
        <v>24</v>
      </c>
      <c r="D283" s="2" t="s">
        <v>18</v>
      </c>
      <c r="E283" s="2">
        <v>34771.26</v>
      </c>
      <c r="F283" s="2">
        <v>4355.0</v>
      </c>
      <c r="G283" s="2">
        <v>0.051</v>
      </c>
      <c r="H283" s="2">
        <v>15.0</v>
      </c>
      <c r="I283" s="2">
        <v>87.9</v>
      </c>
      <c r="J283" s="2">
        <v>3.09</v>
      </c>
      <c r="K283" s="2">
        <v>0.0</v>
      </c>
      <c r="L283" s="2">
        <v>4.0</v>
      </c>
      <c r="M283" s="2">
        <v>555557.77</v>
      </c>
      <c r="N283" s="2">
        <v>86475.51</v>
      </c>
      <c r="O283" s="2">
        <f t="shared" si="1"/>
        <v>0</v>
      </c>
      <c r="P283" s="2">
        <f t="shared" si="2"/>
        <v>0</v>
      </c>
      <c r="Q283" s="2">
        <f t="shared" si="3"/>
        <v>1</v>
      </c>
      <c r="R283" s="2">
        <f t="shared" si="4"/>
        <v>0</v>
      </c>
      <c r="S283" s="2">
        <f t="shared" si="5"/>
        <v>1</v>
      </c>
      <c r="T283" s="2">
        <f t="shared" si="6"/>
        <v>0</v>
      </c>
      <c r="U283" s="2">
        <f t="shared" si="7"/>
        <v>589911.5573</v>
      </c>
      <c r="V283" s="2">
        <f t="shared" si="8"/>
        <v>-34353.78726</v>
      </c>
    </row>
    <row r="284" ht="15.75" customHeight="1">
      <c r="A284" s="2" t="s">
        <v>92</v>
      </c>
      <c r="B284" s="3">
        <v>45717.0</v>
      </c>
      <c r="C284" s="2" t="s">
        <v>24</v>
      </c>
      <c r="D284" s="2" t="s">
        <v>18</v>
      </c>
      <c r="E284" s="2">
        <v>66104.19</v>
      </c>
      <c r="F284" s="2">
        <v>5745.0</v>
      </c>
      <c r="G284" s="2">
        <v>0.07</v>
      </c>
      <c r="H284" s="2">
        <v>17.0</v>
      </c>
      <c r="I284" s="2">
        <v>95.8</v>
      </c>
      <c r="J284" s="2">
        <v>3.15</v>
      </c>
      <c r="K284" s="2">
        <v>0.0</v>
      </c>
      <c r="L284" s="2">
        <v>4.0</v>
      </c>
      <c r="M284" s="2">
        <v>714083.68</v>
      </c>
      <c r="N284" s="2">
        <v>127231.74</v>
      </c>
      <c r="O284" s="2">
        <f t="shared" si="1"/>
        <v>0</v>
      </c>
      <c r="P284" s="2">
        <f t="shared" si="2"/>
        <v>0</v>
      </c>
      <c r="Q284" s="2">
        <f t="shared" si="3"/>
        <v>1</v>
      </c>
      <c r="R284" s="2">
        <f t="shared" si="4"/>
        <v>0</v>
      </c>
      <c r="S284" s="2">
        <f t="shared" si="5"/>
        <v>1</v>
      </c>
      <c r="T284" s="2">
        <f t="shared" si="6"/>
        <v>0</v>
      </c>
      <c r="U284" s="2">
        <f t="shared" si="7"/>
        <v>696414.6925</v>
      </c>
      <c r="V284" s="2">
        <f t="shared" si="8"/>
        <v>17668.98749</v>
      </c>
    </row>
    <row r="285" ht="15.75" customHeight="1">
      <c r="A285" s="2" t="s">
        <v>92</v>
      </c>
      <c r="B285" s="3">
        <v>45748.0</v>
      </c>
      <c r="C285" s="2" t="s">
        <v>24</v>
      </c>
      <c r="D285" s="2" t="s">
        <v>18</v>
      </c>
      <c r="E285" s="2">
        <v>18599.21</v>
      </c>
      <c r="F285" s="2">
        <v>3027.0</v>
      </c>
      <c r="G285" s="2">
        <v>0.122</v>
      </c>
      <c r="H285" s="2">
        <v>11.0</v>
      </c>
      <c r="I285" s="2">
        <v>80.9</v>
      </c>
      <c r="J285" s="2">
        <v>6.44</v>
      </c>
      <c r="K285" s="2">
        <v>0.0</v>
      </c>
      <c r="L285" s="2">
        <v>4.2</v>
      </c>
      <c r="M285" s="2">
        <v>497439.82</v>
      </c>
      <c r="N285" s="2">
        <v>93372.75</v>
      </c>
      <c r="O285" s="2">
        <f t="shared" si="1"/>
        <v>0</v>
      </c>
      <c r="P285" s="2">
        <f t="shared" si="2"/>
        <v>0</v>
      </c>
      <c r="Q285" s="2">
        <f t="shared" si="3"/>
        <v>1</v>
      </c>
      <c r="R285" s="2">
        <f t="shared" si="4"/>
        <v>0</v>
      </c>
      <c r="S285" s="2">
        <f t="shared" si="5"/>
        <v>1</v>
      </c>
      <c r="T285" s="2">
        <f t="shared" si="6"/>
        <v>0</v>
      </c>
      <c r="U285" s="2">
        <f t="shared" si="7"/>
        <v>506027.6464</v>
      </c>
      <c r="V285" s="2">
        <f t="shared" si="8"/>
        <v>-8587.826434</v>
      </c>
    </row>
    <row r="286" ht="15.75" customHeight="1">
      <c r="A286" s="2" t="s">
        <v>93</v>
      </c>
      <c r="B286" s="3">
        <v>45658.0</v>
      </c>
      <c r="C286" s="2" t="s">
        <v>27</v>
      </c>
      <c r="D286" s="2" t="s">
        <v>16</v>
      </c>
      <c r="E286" s="2">
        <v>60183.06</v>
      </c>
      <c r="F286" s="2">
        <v>5562.0</v>
      </c>
      <c r="G286" s="2">
        <v>0.009</v>
      </c>
      <c r="H286" s="2">
        <v>13.0</v>
      </c>
      <c r="I286" s="2">
        <v>86.3</v>
      </c>
      <c r="J286" s="2">
        <v>0.2</v>
      </c>
      <c r="K286" s="2">
        <v>1.0</v>
      </c>
      <c r="L286" s="2">
        <v>4.5</v>
      </c>
      <c r="M286" s="2">
        <v>636775.66</v>
      </c>
      <c r="N286" s="2">
        <v>122636.86</v>
      </c>
      <c r="O286" s="2">
        <f t="shared" si="1"/>
        <v>0</v>
      </c>
      <c r="P286" s="2">
        <f t="shared" si="2"/>
        <v>0</v>
      </c>
      <c r="Q286" s="2">
        <f t="shared" si="3"/>
        <v>0</v>
      </c>
      <c r="R286" s="2">
        <f t="shared" si="4"/>
        <v>0</v>
      </c>
      <c r="S286" s="2">
        <f t="shared" si="5"/>
        <v>0</v>
      </c>
      <c r="T286" s="2">
        <f t="shared" si="6"/>
        <v>0</v>
      </c>
      <c r="U286" s="2">
        <f t="shared" si="7"/>
        <v>651972.5554</v>
      </c>
      <c r="V286" s="2">
        <f t="shared" si="8"/>
        <v>-15196.89545</v>
      </c>
    </row>
    <row r="287" ht="15.75" customHeight="1">
      <c r="A287" s="2" t="s">
        <v>93</v>
      </c>
      <c r="B287" s="3">
        <v>45689.0</v>
      </c>
      <c r="C287" s="2" t="s">
        <v>27</v>
      </c>
      <c r="D287" s="2" t="s">
        <v>16</v>
      </c>
      <c r="E287" s="2">
        <v>74539.14</v>
      </c>
      <c r="F287" s="2">
        <v>4487.0</v>
      </c>
      <c r="G287" s="2">
        <v>0.14</v>
      </c>
      <c r="H287" s="2">
        <v>10.0</v>
      </c>
      <c r="I287" s="2">
        <v>90.4</v>
      </c>
      <c r="J287" s="2">
        <v>0.59</v>
      </c>
      <c r="K287" s="2">
        <v>0.0</v>
      </c>
      <c r="L287" s="2">
        <v>4.5</v>
      </c>
      <c r="M287" s="2">
        <v>633009.53</v>
      </c>
      <c r="N287" s="2">
        <v>123782.67</v>
      </c>
      <c r="O287" s="2">
        <f t="shared" si="1"/>
        <v>0</v>
      </c>
      <c r="P287" s="2">
        <f t="shared" si="2"/>
        <v>0</v>
      </c>
      <c r="Q287" s="2">
        <f t="shared" si="3"/>
        <v>0</v>
      </c>
      <c r="R287" s="2">
        <f t="shared" si="4"/>
        <v>0</v>
      </c>
      <c r="S287" s="2">
        <f t="shared" si="5"/>
        <v>0</v>
      </c>
      <c r="T287" s="2">
        <f t="shared" si="6"/>
        <v>0</v>
      </c>
      <c r="U287" s="2">
        <f t="shared" si="7"/>
        <v>644148.8038</v>
      </c>
      <c r="V287" s="2">
        <f t="shared" si="8"/>
        <v>-11139.2738</v>
      </c>
    </row>
    <row r="288" ht="15.75" customHeight="1">
      <c r="A288" s="2" t="s">
        <v>93</v>
      </c>
      <c r="B288" s="3">
        <v>45717.0</v>
      </c>
      <c r="C288" s="2" t="s">
        <v>27</v>
      </c>
      <c r="D288" s="2" t="s">
        <v>16</v>
      </c>
      <c r="E288" s="2">
        <v>55371.97</v>
      </c>
      <c r="F288" s="2">
        <v>4162.0</v>
      </c>
      <c r="G288" s="2">
        <v>0.183</v>
      </c>
      <c r="H288" s="2">
        <v>11.0</v>
      </c>
      <c r="I288" s="2">
        <v>92.0</v>
      </c>
      <c r="J288" s="2">
        <v>0.2</v>
      </c>
      <c r="K288" s="2">
        <v>1.0</v>
      </c>
      <c r="L288" s="2">
        <v>4.2</v>
      </c>
      <c r="M288" s="2">
        <v>609949.0</v>
      </c>
      <c r="N288" s="2">
        <v>126789.25</v>
      </c>
      <c r="O288" s="2">
        <f t="shared" si="1"/>
        <v>0</v>
      </c>
      <c r="P288" s="2">
        <f t="shared" si="2"/>
        <v>0</v>
      </c>
      <c r="Q288" s="2">
        <f t="shared" si="3"/>
        <v>0</v>
      </c>
      <c r="R288" s="2">
        <f t="shared" si="4"/>
        <v>0</v>
      </c>
      <c r="S288" s="2">
        <f t="shared" si="5"/>
        <v>0</v>
      </c>
      <c r="T288" s="2">
        <f t="shared" si="6"/>
        <v>0</v>
      </c>
      <c r="U288" s="2">
        <f t="shared" si="7"/>
        <v>614915.7889</v>
      </c>
      <c r="V288" s="2">
        <f t="shared" si="8"/>
        <v>-4966.788935</v>
      </c>
    </row>
    <row r="289" ht="15.75" customHeight="1">
      <c r="A289" s="2" t="s">
        <v>93</v>
      </c>
      <c r="B289" s="3">
        <v>45748.0</v>
      </c>
      <c r="C289" s="2" t="s">
        <v>27</v>
      </c>
      <c r="D289" s="2" t="s">
        <v>16</v>
      </c>
      <c r="E289" s="2">
        <v>40928.69</v>
      </c>
      <c r="F289" s="2">
        <v>4094.0</v>
      </c>
      <c r="G289" s="2">
        <v>0.174</v>
      </c>
      <c r="H289" s="2">
        <v>13.0</v>
      </c>
      <c r="I289" s="2">
        <v>82.4</v>
      </c>
      <c r="J289" s="2">
        <v>1.36</v>
      </c>
      <c r="K289" s="2">
        <v>0.0</v>
      </c>
      <c r="L289" s="2">
        <v>4.8</v>
      </c>
      <c r="M289" s="2">
        <v>548103.7</v>
      </c>
      <c r="N289" s="2">
        <v>99905.52</v>
      </c>
      <c r="O289" s="2">
        <f t="shared" si="1"/>
        <v>0</v>
      </c>
      <c r="P289" s="2">
        <f t="shared" si="2"/>
        <v>0</v>
      </c>
      <c r="Q289" s="2">
        <f t="shared" si="3"/>
        <v>0</v>
      </c>
      <c r="R289" s="2">
        <f t="shared" si="4"/>
        <v>0</v>
      </c>
      <c r="S289" s="2">
        <f t="shared" si="5"/>
        <v>0</v>
      </c>
      <c r="T289" s="2">
        <f t="shared" si="6"/>
        <v>0</v>
      </c>
      <c r="U289" s="2">
        <f t="shared" si="7"/>
        <v>568427.2579</v>
      </c>
      <c r="V289" s="2">
        <f t="shared" si="8"/>
        <v>-20323.55793</v>
      </c>
    </row>
    <row r="290" ht="15.75" customHeight="1">
      <c r="A290" s="2" t="s">
        <v>94</v>
      </c>
      <c r="B290" s="3">
        <v>45658.0</v>
      </c>
      <c r="C290" s="2" t="s">
        <v>15</v>
      </c>
      <c r="D290" s="2" t="s">
        <v>16</v>
      </c>
      <c r="E290" s="2">
        <v>70012.41</v>
      </c>
      <c r="F290" s="2">
        <v>8484.0</v>
      </c>
      <c r="G290" s="2">
        <v>0.273</v>
      </c>
      <c r="H290" s="2">
        <v>23.0</v>
      </c>
      <c r="I290" s="2">
        <v>72.9</v>
      </c>
      <c r="J290" s="2">
        <v>3.34</v>
      </c>
      <c r="K290" s="2">
        <v>0.0</v>
      </c>
      <c r="L290" s="2">
        <v>3.7</v>
      </c>
      <c r="M290" s="2">
        <v>729424.42</v>
      </c>
      <c r="N290" s="2">
        <v>75592.28</v>
      </c>
      <c r="O290" s="2">
        <f t="shared" si="1"/>
        <v>1</v>
      </c>
      <c r="P290" s="2">
        <f t="shared" si="2"/>
        <v>0</v>
      </c>
      <c r="Q290" s="2">
        <f t="shared" si="3"/>
        <v>0</v>
      </c>
      <c r="R290" s="2">
        <f t="shared" si="4"/>
        <v>0</v>
      </c>
      <c r="S290" s="2">
        <f t="shared" si="5"/>
        <v>0</v>
      </c>
      <c r="T290" s="2">
        <f t="shared" si="6"/>
        <v>0</v>
      </c>
      <c r="U290" s="2">
        <f t="shared" si="7"/>
        <v>707337.4882</v>
      </c>
      <c r="V290" s="2">
        <f t="shared" si="8"/>
        <v>22086.93175</v>
      </c>
    </row>
    <row r="291" ht="15.75" customHeight="1">
      <c r="A291" s="2" t="s">
        <v>94</v>
      </c>
      <c r="B291" s="3">
        <v>45689.0</v>
      </c>
      <c r="C291" s="2" t="s">
        <v>15</v>
      </c>
      <c r="D291" s="2" t="s">
        <v>16</v>
      </c>
      <c r="E291" s="2">
        <v>68909.26</v>
      </c>
      <c r="F291" s="2">
        <v>7794.0</v>
      </c>
      <c r="G291" s="2">
        <v>0.284</v>
      </c>
      <c r="H291" s="2">
        <v>22.0</v>
      </c>
      <c r="I291" s="2">
        <v>89.0</v>
      </c>
      <c r="J291" s="2">
        <v>0.33</v>
      </c>
      <c r="K291" s="2">
        <v>0.0</v>
      </c>
      <c r="L291" s="2">
        <v>4.0</v>
      </c>
      <c r="M291" s="2">
        <v>696261.49</v>
      </c>
      <c r="N291" s="2">
        <v>72455.35</v>
      </c>
      <c r="O291" s="2">
        <f t="shared" si="1"/>
        <v>1</v>
      </c>
      <c r="P291" s="2">
        <f t="shared" si="2"/>
        <v>0</v>
      </c>
      <c r="Q291" s="2">
        <f t="shared" si="3"/>
        <v>0</v>
      </c>
      <c r="R291" s="2">
        <f t="shared" si="4"/>
        <v>0</v>
      </c>
      <c r="S291" s="2">
        <f t="shared" si="5"/>
        <v>0</v>
      </c>
      <c r="T291" s="2">
        <f t="shared" si="6"/>
        <v>0</v>
      </c>
      <c r="U291" s="2">
        <f t="shared" si="7"/>
        <v>728032.1788</v>
      </c>
      <c r="V291" s="2">
        <f t="shared" si="8"/>
        <v>-31770.68884</v>
      </c>
    </row>
    <row r="292" ht="15.75" customHeight="1">
      <c r="A292" s="2" t="s">
        <v>94</v>
      </c>
      <c r="B292" s="3">
        <v>45717.0</v>
      </c>
      <c r="C292" s="2" t="s">
        <v>15</v>
      </c>
      <c r="D292" s="2" t="s">
        <v>16</v>
      </c>
      <c r="E292" s="2">
        <v>56737.3</v>
      </c>
      <c r="F292" s="2">
        <v>8300.0</v>
      </c>
      <c r="G292" s="2">
        <v>0.032</v>
      </c>
      <c r="H292" s="2">
        <v>21.0</v>
      </c>
      <c r="I292" s="2">
        <v>83.2</v>
      </c>
      <c r="J292" s="2">
        <v>3.44</v>
      </c>
      <c r="K292" s="2">
        <v>1.0</v>
      </c>
      <c r="L292" s="2">
        <v>4.3</v>
      </c>
      <c r="M292" s="2">
        <v>813316.71</v>
      </c>
      <c r="N292" s="2">
        <v>110077.42</v>
      </c>
      <c r="O292" s="2">
        <f t="shared" si="1"/>
        <v>1</v>
      </c>
      <c r="P292" s="2">
        <f t="shared" si="2"/>
        <v>0</v>
      </c>
      <c r="Q292" s="2">
        <f t="shared" si="3"/>
        <v>0</v>
      </c>
      <c r="R292" s="2">
        <f t="shared" si="4"/>
        <v>0</v>
      </c>
      <c r="S292" s="2">
        <f t="shared" si="5"/>
        <v>0</v>
      </c>
      <c r="T292" s="2">
        <f t="shared" si="6"/>
        <v>0</v>
      </c>
      <c r="U292" s="2">
        <f t="shared" si="7"/>
        <v>714385.8718</v>
      </c>
      <c r="V292" s="2">
        <f t="shared" si="8"/>
        <v>98930.83823</v>
      </c>
    </row>
    <row r="293" ht="15.75" customHeight="1">
      <c r="A293" s="2" t="s">
        <v>94</v>
      </c>
      <c r="B293" s="3">
        <v>45748.0</v>
      </c>
      <c r="C293" s="2" t="s">
        <v>15</v>
      </c>
      <c r="D293" s="2" t="s">
        <v>16</v>
      </c>
      <c r="E293" s="2">
        <v>54080.91</v>
      </c>
      <c r="F293" s="2">
        <v>7083.0</v>
      </c>
      <c r="G293" s="2">
        <v>0.0</v>
      </c>
      <c r="H293" s="2">
        <v>15.0</v>
      </c>
      <c r="I293" s="2">
        <v>97.0</v>
      </c>
      <c r="J293" s="2">
        <v>5.33</v>
      </c>
      <c r="K293" s="2">
        <v>0.0</v>
      </c>
      <c r="L293" s="2">
        <v>4.1</v>
      </c>
      <c r="M293" s="2">
        <v>702068.92</v>
      </c>
      <c r="N293" s="2">
        <v>111266.63</v>
      </c>
      <c r="O293" s="2">
        <f t="shared" si="1"/>
        <v>1</v>
      </c>
      <c r="P293" s="2">
        <f t="shared" si="2"/>
        <v>0</v>
      </c>
      <c r="Q293" s="2">
        <f t="shared" si="3"/>
        <v>0</v>
      </c>
      <c r="R293" s="2">
        <f t="shared" si="4"/>
        <v>0</v>
      </c>
      <c r="S293" s="2">
        <f t="shared" si="5"/>
        <v>0</v>
      </c>
      <c r="T293" s="2">
        <f t="shared" si="6"/>
        <v>0</v>
      </c>
      <c r="U293" s="2">
        <f t="shared" si="7"/>
        <v>708908.9417</v>
      </c>
      <c r="V293" s="2">
        <f t="shared" si="8"/>
        <v>-6840.021706</v>
      </c>
    </row>
    <row r="294" ht="15.75" customHeight="1">
      <c r="A294" s="2" t="s">
        <v>95</v>
      </c>
      <c r="B294" s="3">
        <v>45658.0</v>
      </c>
      <c r="C294" s="2" t="s">
        <v>27</v>
      </c>
      <c r="D294" s="2" t="s">
        <v>18</v>
      </c>
      <c r="E294" s="2">
        <v>51996.32</v>
      </c>
      <c r="F294" s="2">
        <v>3834.0</v>
      </c>
      <c r="G294" s="2">
        <v>0.096</v>
      </c>
      <c r="H294" s="2">
        <v>8.0</v>
      </c>
      <c r="I294" s="2">
        <v>86.7</v>
      </c>
      <c r="J294" s="2">
        <v>6.04</v>
      </c>
      <c r="K294" s="2">
        <v>0.0</v>
      </c>
      <c r="L294" s="2">
        <v>4.5</v>
      </c>
      <c r="M294" s="2">
        <v>546223.7</v>
      </c>
      <c r="N294" s="2">
        <v>100769.17</v>
      </c>
      <c r="O294" s="2">
        <f t="shared" si="1"/>
        <v>0</v>
      </c>
      <c r="P294" s="2">
        <f t="shared" si="2"/>
        <v>0</v>
      </c>
      <c r="Q294" s="2">
        <f t="shared" si="3"/>
        <v>0</v>
      </c>
      <c r="R294" s="2">
        <f t="shared" si="4"/>
        <v>0</v>
      </c>
      <c r="S294" s="2">
        <f t="shared" si="5"/>
        <v>1</v>
      </c>
      <c r="T294" s="2">
        <f t="shared" si="6"/>
        <v>0</v>
      </c>
      <c r="U294" s="2">
        <f t="shared" si="7"/>
        <v>584867.6919</v>
      </c>
      <c r="V294" s="2">
        <f t="shared" si="8"/>
        <v>-38643.99193</v>
      </c>
    </row>
    <row r="295" ht="15.75" customHeight="1">
      <c r="A295" s="2" t="s">
        <v>95</v>
      </c>
      <c r="B295" s="3">
        <v>45689.0</v>
      </c>
      <c r="C295" s="2" t="s">
        <v>27</v>
      </c>
      <c r="D295" s="2" t="s">
        <v>18</v>
      </c>
      <c r="E295" s="2">
        <v>40102.88</v>
      </c>
      <c r="F295" s="2">
        <v>2358.0</v>
      </c>
      <c r="G295" s="2">
        <v>0.119</v>
      </c>
      <c r="H295" s="2">
        <v>9.0</v>
      </c>
      <c r="I295" s="2">
        <v>88.7</v>
      </c>
      <c r="J295" s="2">
        <v>1.6</v>
      </c>
      <c r="K295" s="2">
        <v>0.0</v>
      </c>
      <c r="L295" s="2">
        <v>4.2</v>
      </c>
      <c r="M295" s="2">
        <v>533121.26</v>
      </c>
      <c r="N295" s="2">
        <v>55063.39</v>
      </c>
      <c r="O295" s="2">
        <f t="shared" si="1"/>
        <v>0</v>
      </c>
      <c r="P295" s="2">
        <f t="shared" si="2"/>
        <v>0</v>
      </c>
      <c r="Q295" s="2">
        <f t="shared" si="3"/>
        <v>0</v>
      </c>
      <c r="R295" s="2">
        <f t="shared" si="4"/>
        <v>0</v>
      </c>
      <c r="S295" s="2">
        <f t="shared" si="5"/>
        <v>1</v>
      </c>
      <c r="T295" s="2">
        <f t="shared" si="6"/>
        <v>0</v>
      </c>
      <c r="U295" s="2">
        <f t="shared" si="7"/>
        <v>526409.3751</v>
      </c>
      <c r="V295" s="2">
        <f t="shared" si="8"/>
        <v>6711.884859</v>
      </c>
    </row>
    <row r="296" ht="15.75" customHeight="1">
      <c r="A296" s="2" t="s">
        <v>95</v>
      </c>
      <c r="B296" s="3">
        <v>45717.0</v>
      </c>
      <c r="C296" s="2" t="s">
        <v>27</v>
      </c>
      <c r="D296" s="2" t="s">
        <v>18</v>
      </c>
      <c r="E296" s="2">
        <v>59825.51</v>
      </c>
      <c r="F296" s="2">
        <v>1231.0</v>
      </c>
      <c r="G296" s="2">
        <v>0.214</v>
      </c>
      <c r="H296" s="2">
        <v>10.0</v>
      </c>
      <c r="I296" s="2">
        <v>84.8</v>
      </c>
      <c r="J296" s="2">
        <v>8.96</v>
      </c>
      <c r="K296" s="2">
        <v>0.0</v>
      </c>
      <c r="L296" s="2">
        <v>4.7</v>
      </c>
      <c r="M296" s="2">
        <v>498970.32</v>
      </c>
      <c r="N296" s="2">
        <v>69656.7</v>
      </c>
      <c r="O296" s="2">
        <f t="shared" si="1"/>
        <v>0</v>
      </c>
      <c r="P296" s="2">
        <f t="shared" si="2"/>
        <v>0</v>
      </c>
      <c r="Q296" s="2">
        <f t="shared" si="3"/>
        <v>0</v>
      </c>
      <c r="R296" s="2">
        <f t="shared" si="4"/>
        <v>0</v>
      </c>
      <c r="S296" s="2">
        <f t="shared" si="5"/>
        <v>1</v>
      </c>
      <c r="T296" s="2">
        <f t="shared" si="6"/>
        <v>0</v>
      </c>
      <c r="U296" s="2">
        <f t="shared" si="7"/>
        <v>500645.5124</v>
      </c>
      <c r="V296" s="2">
        <f t="shared" si="8"/>
        <v>-1675.192442</v>
      </c>
    </row>
    <row r="297" ht="15.75" customHeight="1">
      <c r="A297" s="2" t="s">
        <v>95</v>
      </c>
      <c r="B297" s="3">
        <v>45748.0</v>
      </c>
      <c r="C297" s="2" t="s">
        <v>27</v>
      </c>
      <c r="D297" s="2" t="s">
        <v>18</v>
      </c>
      <c r="E297" s="2">
        <v>27398.28</v>
      </c>
      <c r="F297" s="2">
        <v>1723.0</v>
      </c>
      <c r="G297" s="2">
        <v>0.171</v>
      </c>
      <c r="H297" s="2">
        <v>9.0</v>
      </c>
      <c r="I297" s="2">
        <v>81.0</v>
      </c>
      <c r="J297" s="2">
        <v>0.74</v>
      </c>
      <c r="K297" s="2">
        <v>0.0</v>
      </c>
      <c r="L297" s="2">
        <v>4.6</v>
      </c>
      <c r="M297" s="2">
        <v>487738.26</v>
      </c>
      <c r="N297" s="2">
        <v>96435.6</v>
      </c>
      <c r="O297" s="2">
        <f t="shared" si="1"/>
        <v>0</v>
      </c>
      <c r="P297" s="2">
        <f t="shared" si="2"/>
        <v>0</v>
      </c>
      <c r="Q297" s="2">
        <f t="shared" si="3"/>
        <v>0</v>
      </c>
      <c r="R297" s="2">
        <f t="shared" si="4"/>
        <v>0</v>
      </c>
      <c r="S297" s="2">
        <f t="shared" si="5"/>
        <v>1</v>
      </c>
      <c r="T297" s="2">
        <f t="shared" si="6"/>
        <v>0</v>
      </c>
      <c r="U297" s="2">
        <f t="shared" si="7"/>
        <v>468135.2433</v>
      </c>
      <c r="V297" s="2">
        <f t="shared" si="8"/>
        <v>19603.0167</v>
      </c>
    </row>
    <row r="298" ht="15.75" customHeight="1">
      <c r="A298" s="2" t="s">
        <v>96</v>
      </c>
      <c r="B298" s="3">
        <v>45658.0</v>
      </c>
      <c r="C298" s="2" t="s">
        <v>27</v>
      </c>
      <c r="D298" s="2" t="s">
        <v>18</v>
      </c>
      <c r="E298" s="2">
        <v>55599.56</v>
      </c>
      <c r="F298" s="2">
        <v>5896.0</v>
      </c>
      <c r="G298" s="2">
        <v>0.036</v>
      </c>
      <c r="H298" s="2">
        <v>12.0</v>
      </c>
      <c r="I298" s="2">
        <v>93.1</v>
      </c>
      <c r="J298" s="2">
        <v>6.13</v>
      </c>
      <c r="K298" s="2">
        <v>0.0</v>
      </c>
      <c r="L298" s="2">
        <v>3.3</v>
      </c>
      <c r="M298" s="2">
        <v>668459.37</v>
      </c>
      <c r="N298" s="2">
        <v>126435.42</v>
      </c>
      <c r="O298" s="2">
        <f t="shared" si="1"/>
        <v>0</v>
      </c>
      <c r="P298" s="2">
        <f t="shared" si="2"/>
        <v>0</v>
      </c>
      <c r="Q298" s="2">
        <f t="shared" si="3"/>
        <v>0</v>
      </c>
      <c r="R298" s="2">
        <f t="shared" si="4"/>
        <v>0</v>
      </c>
      <c r="S298" s="2">
        <f t="shared" si="5"/>
        <v>1</v>
      </c>
      <c r="T298" s="2">
        <f t="shared" si="6"/>
        <v>0</v>
      </c>
      <c r="U298" s="2">
        <f t="shared" si="7"/>
        <v>677010.1461</v>
      </c>
      <c r="V298" s="2">
        <f t="shared" si="8"/>
        <v>-8550.77609</v>
      </c>
    </row>
    <row r="299" ht="15.75" customHeight="1">
      <c r="A299" s="2" t="s">
        <v>96</v>
      </c>
      <c r="B299" s="3">
        <v>45689.0</v>
      </c>
      <c r="C299" s="2" t="s">
        <v>27</v>
      </c>
      <c r="D299" s="2" t="s">
        <v>18</v>
      </c>
      <c r="E299" s="2">
        <v>55477.61</v>
      </c>
      <c r="F299" s="2">
        <v>5903.0</v>
      </c>
      <c r="G299" s="2">
        <v>0.102</v>
      </c>
      <c r="H299" s="2">
        <v>14.0</v>
      </c>
      <c r="I299" s="2">
        <v>96.2</v>
      </c>
      <c r="J299" s="2">
        <v>1.41</v>
      </c>
      <c r="K299" s="2">
        <v>0.0</v>
      </c>
      <c r="L299" s="2">
        <v>3.3</v>
      </c>
      <c r="M299" s="2">
        <v>763162.45</v>
      </c>
      <c r="N299" s="2">
        <v>162524.05</v>
      </c>
      <c r="O299" s="2">
        <f t="shared" si="1"/>
        <v>0</v>
      </c>
      <c r="P299" s="2">
        <f t="shared" si="2"/>
        <v>0</v>
      </c>
      <c r="Q299" s="2">
        <f t="shared" si="3"/>
        <v>0</v>
      </c>
      <c r="R299" s="2">
        <f t="shared" si="4"/>
        <v>0</v>
      </c>
      <c r="S299" s="2">
        <f t="shared" si="5"/>
        <v>1</v>
      </c>
      <c r="T299" s="2">
        <f t="shared" si="6"/>
        <v>0</v>
      </c>
      <c r="U299" s="2">
        <f t="shared" si="7"/>
        <v>685838.6074</v>
      </c>
      <c r="V299" s="2">
        <f t="shared" si="8"/>
        <v>77323.84262</v>
      </c>
    </row>
    <row r="300" ht="15.75" customHeight="1">
      <c r="A300" s="2" t="s">
        <v>96</v>
      </c>
      <c r="B300" s="3">
        <v>45717.0</v>
      </c>
      <c r="C300" s="2" t="s">
        <v>27</v>
      </c>
      <c r="D300" s="2" t="s">
        <v>18</v>
      </c>
      <c r="E300" s="2">
        <v>46174.7</v>
      </c>
      <c r="F300" s="2">
        <v>4898.0</v>
      </c>
      <c r="G300" s="2">
        <v>0.114</v>
      </c>
      <c r="H300" s="2">
        <v>11.0</v>
      </c>
      <c r="I300" s="2">
        <v>91.7</v>
      </c>
      <c r="J300" s="2">
        <v>3.75</v>
      </c>
      <c r="K300" s="2">
        <v>0.0</v>
      </c>
      <c r="L300" s="2">
        <v>3.1</v>
      </c>
      <c r="M300" s="2">
        <v>599017.33</v>
      </c>
      <c r="N300" s="2">
        <v>134009.92</v>
      </c>
      <c r="O300" s="2">
        <f t="shared" si="1"/>
        <v>0</v>
      </c>
      <c r="P300" s="2">
        <f t="shared" si="2"/>
        <v>0</v>
      </c>
      <c r="Q300" s="2">
        <f t="shared" si="3"/>
        <v>0</v>
      </c>
      <c r="R300" s="2">
        <f t="shared" si="4"/>
        <v>0</v>
      </c>
      <c r="S300" s="2">
        <f t="shared" si="5"/>
        <v>1</v>
      </c>
      <c r="T300" s="2">
        <f t="shared" si="6"/>
        <v>0</v>
      </c>
      <c r="U300" s="2">
        <f t="shared" si="7"/>
        <v>628086.6752</v>
      </c>
      <c r="V300" s="2">
        <f t="shared" si="8"/>
        <v>-29069.34515</v>
      </c>
    </row>
    <row r="301" ht="15.75" customHeight="1">
      <c r="A301" s="2" t="s">
        <v>96</v>
      </c>
      <c r="B301" s="3">
        <v>45748.0</v>
      </c>
      <c r="C301" s="2" t="s">
        <v>27</v>
      </c>
      <c r="D301" s="2" t="s">
        <v>18</v>
      </c>
      <c r="E301" s="2">
        <v>24362.98</v>
      </c>
      <c r="F301" s="2">
        <v>1462.0</v>
      </c>
      <c r="G301" s="2">
        <v>0.117</v>
      </c>
      <c r="H301" s="2">
        <v>6.0</v>
      </c>
      <c r="I301" s="2">
        <v>89.3</v>
      </c>
      <c r="J301" s="2">
        <v>15.06</v>
      </c>
      <c r="K301" s="2">
        <v>0.0</v>
      </c>
      <c r="L301" s="2">
        <v>3.2</v>
      </c>
      <c r="M301" s="2">
        <v>401582.58</v>
      </c>
      <c r="N301" s="2">
        <v>68454.93</v>
      </c>
      <c r="O301" s="2">
        <f t="shared" si="1"/>
        <v>0</v>
      </c>
      <c r="P301" s="2">
        <f t="shared" si="2"/>
        <v>0</v>
      </c>
      <c r="Q301" s="2">
        <f t="shared" si="3"/>
        <v>0</v>
      </c>
      <c r="R301" s="2">
        <f t="shared" si="4"/>
        <v>0</v>
      </c>
      <c r="S301" s="2">
        <f t="shared" si="5"/>
        <v>1</v>
      </c>
      <c r="T301" s="2">
        <f t="shared" si="6"/>
        <v>0</v>
      </c>
      <c r="U301" s="2">
        <f t="shared" si="7"/>
        <v>479085.7994</v>
      </c>
      <c r="V301" s="2">
        <f t="shared" si="8"/>
        <v>-77503.21936</v>
      </c>
    </row>
    <row r="302" ht="15.75" customHeight="1">
      <c r="A302" s="2" t="s">
        <v>97</v>
      </c>
      <c r="B302" s="3">
        <v>45658.0</v>
      </c>
      <c r="C302" s="2" t="s">
        <v>20</v>
      </c>
      <c r="D302" s="2" t="s">
        <v>28</v>
      </c>
      <c r="E302" s="2">
        <v>40647.67</v>
      </c>
      <c r="F302" s="2">
        <v>8252.0</v>
      </c>
      <c r="G302" s="2">
        <v>0.141</v>
      </c>
      <c r="H302" s="2">
        <v>22.0</v>
      </c>
      <c r="I302" s="2">
        <v>88.2</v>
      </c>
      <c r="J302" s="2">
        <v>5.07</v>
      </c>
      <c r="K302" s="2">
        <v>1.0</v>
      </c>
      <c r="L302" s="2">
        <v>4.1</v>
      </c>
      <c r="M302" s="2">
        <v>703812.99</v>
      </c>
      <c r="N302" s="2">
        <v>133577.98</v>
      </c>
      <c r="O302" s="2">
        <f t="shared" si="1"/>
        <v>0</v>
      </c>
      <c r="P302" s="2">
        <f t="shared" si="2"/>
        <v>1</v>
      </c>
      <c r="Q302" s="2">
        <f t="shared" si="3"/>
        <v>0</v>
      </c>
      <c r="R302" s="2">
        <f t="shared" si="4"/>
        <v>0</v>
      </c>
      <c r="S302" s="2">
        <f t="shared" si="5"/>
        <v>0</v>
      </c>
      <c r="T302" s="2">
        <f t="shared" si="6"/>
        <v>1</v>
      </c>
      <c r="U302" s="2">
        <f t="shared" si="7"/>
        <v>718311.2242</v>
      </c>
      <c r="V302" s="2">
        <f t="shared" si="8"/>
        <v>-14498.23425</v>
      </c>
    </row>
    <row r="303" ht="15.75" customHeight="1">
      <c r="A303" s="2" t="s">
        <v>97</v>
      </c>
      <c r="B303" s="3">
        <v>45689.0</v>
      </c>
      <c r="C303" s="2" t="s">
        <v>20</v>
      </c>
      <c r="D303" s="2" t="s">
        <v>28</v>
      </c>
      <c r="E303" s="2">
        <v>63986.98</v>
      </c>
      <c r="F303" s="2">
        <v>7989.0</v>
      </c>
      <c r="G303" s="2">
        <v>0.074</v>
      </c>
      <c r="H303" s="2">
        <v>20.0</v>
      </c>
      <c r="I303" s="2">
        <v>83.3</v>
      </c>
      <c r="J303" s="2">
        <v>3.6</v>
      </c>
      <c r="K303" s="2">
        <v>0.0</v>
      </c>
      <c r="L303" s="2">
        <v>3.7</v>
      </c>
      <c r="M303" s="2">
        <v>724346.73</v>
      </c>
      <c r="N303" s="2">
        <v>155013.91</v>
      </c>
      <c r="O303" s="2">
        <f t="shared" si="1"/>
        <v>0</v>
      </c>
      <c r="P303" s="2">
        <f t="shared" si="2"/>
        <v>1</v>
      </c>
      <c r="Q303" s="2">
        <f t="shared" si="3"/>
        <v>0</v>
      </c>
      <c r="R303" s="2">
        <f t="shared" si="4"/>
        <v>0</v>
      </c>
      <c r="S303" s="2">
        <f t="shared" si="5"/>
        <v>0</v>
      </c>
      <c r="T303" s="2">
        <f t="shared" si="6"/>
        <v>1</v>
      </c>
      <c r="U303" s="2">
        <f t="shared" si="7"/>
        <v>723279.8987</v>
      </c>
      <c r="V303" s="2">
        <f t="shared" si="8"/>
        <v>1066.831303</v>
      </c>
    </row>
    <row r="304" ht="15.75" customHeight="1">
      <c r="A304" s="2" t="s">
        <v>97</v>
      </c>
      <c r="B304" s="3">
        <v>45717.0</v>
      </c>
      <c r="C304" s="2" t="s">
        <v>20</v>
      </c>
      <c r="D304" s="2" t="s">
        <v>28</v>
      </c>
      <c r="E304" s="2">
        <v>52843.75</v>
      </c>
      <c r="F304" s="2">
        <v>8268.0</v>
      </c>
      <c r="G304" s="2">
        <v>0.138</v>
      </c>
      <c r="H304" s="2">
        <v>19.0</v>
      </c>
      <c r="I304" s="2">
        <v>87.3</v>
      </c>
      <c r="J304" s="2">
        <v>4.39</v>
      </c>
      <c r="K304" s="2">
        <v>1.0</v>
      </c>
      <c r="L304" s="2">
        <v>4.7</v>
      </c>
      <c r="M304" s="2">
        <v>730890.01</v>
      </c>
      <c r="N304" s="2">
        <v>105502.56</v>
      </c>
      <c r="O304" s="2">
        <f t="shared" si="1"/>
        <v>0</v>
      </c>
      <c r="P304" s="2">
        <f t="shared" si="2"/>
        <v>1</v>
      </c>
      <c r="Q304" s="2">
        <f t="shared" si="3"/>
        <v>0</v>
      </c>
      <c r="R304" s="2">
        <f t="shared" si="4"/>
        <v>0</v>
      </c>
      <c r="S304" s="2">
        <f t="shared" si="5"/>
        <v>0</v>
      </c>
      <c r="T304" s="2">
        <f t="shared" si="6"/>
        <v>1</v>
      </c>
      <c r="U304" s="2">
        <f t="shared" si="7"/>
        <v>730783.3185</v>
      </c>
      <c r="V304" s="2">
        <f t="shared" si="8"/>
        <v>106.6915</v>
      </c>
    </row>
    <row r="305" ht="15.75" customHeight="1">
      <c r="A305" s="2" t="s">
        <v>97</v>
      </c>
      <c r="B305" s="3">
        <v>45748.0</v>
      </c>
      <c r="C305" s="2" t="s">
        <v>20</v>
      </c>
      <c r="D305" s="2" t="s">
        <v>28</v>
      </c>
      <c r="E305" s="2">
        <v>31997.25</v>
      </c>
      <c r="F305" s="2">
        <v>8183.0</v>
      </c>
      <c r="G305" s="2">
        <v>0.198</v>
      </c>
      <c r="H305" s="2">
        <v>18.0</v>
      </c>
      <c r="I305" s="2">
        <v>93.0</v>
      </c>
      <c r="J305" s="2">
        <v>2.79</v>
      </c>
      <c r="K305" s="2">
        <v>0.0</v>
      </c>
      <c r="L305" s="2">
        <v>4.2</v>
      </c>
      <c r="M305" s="2">
        <v>780580.95</v>
      </c>
      <c r="N305" s="2">
        <v>138144.46</v>
      </c>
      <c r="O305" s="2">
        <f t="shared" si="1"/>
        <v>0</v>
      </c>
      <c r="P305" s="2">
        <f t="shared" si="2"/>
        <v>1</v>
      </c>
      <c r="Q305" s="2">
        <f t="shared" si="3"/>
        <v>0</v>
      </c>
      <c r="R305" s="2">
        <f t="shared" si="4"/>
        <v>0</v>
      </c>
      <c r="S305" s="2">
        <f t="shared" si="5"/>
        <v>0</v>
      </c>
      <c r="T305" s="2">
        <f t="shared" si="6"/>
        <v>1</v>
      </c>
      <c r="U305" s="2">
        <f t="shared" si="7"/>
        <v>719240.4376</v>
      </c>
      <c r="V305" s="2">
        <f t="shared" si="8"/>
        <v>61340.51244</v>
      </c>
    </row>
    <row r="306" ht="15.75" customHeight="1">
      <c r="A306" s="2" t="s">
        <v>98</v>
      </c>
      <c r="B306" s="3">
        <v>45658.0</v>
      </c>
      <c r="C306" s="2" t="s">
        <v>24</v>
      </c>
      <c r="D306" s="2" t="s">
        <v>16</v>
      </c>
      <c r="E306" s="2">
        <v>54948.02</v>
      </c>
      <c r="F306" s="2">
        <v>6534.0</v>
      </c>
      <c r="G306" s="2">
        <v>0.183</v>
      </c>
      <c r="H306" s="2">
        <v>14.0</v>
      </c>
      <c r="I306" s="2">
        <v>94.5</v>
      </c>
      <c r="J306" s="2">
        <v>1.56</v>
      </c>
      <c r="K306" s="2">
        <v>0.0</v>
      </c>
      <c r="L306" s="2">
        <v>4.0</v>
      </c>
      <c r="M306" s="2">
        <v>727957.48</v>
      </c>
      <c r="N306" s="2">
        <v>74805.23</v>
      </c>
      <c r="O306" s="2">
        <f t="shared" si="1"/>
        <v>0</v>
      </c>
      <c r="P306" s="2">
        <f t="shared" si="2"/>
        <v>0</v>
      </c>
      <c r="Q306" s="2">
        <f t="shared" si="3"/>
        <v>1</v>
      </c>
      <c r="R306" s="2">
        <f t="shared" si="4"/>
        <v>0</v>
      </c>
      <c r="S306" s="2">
        <f t="shared" si="5"/>
        <v>0</v>
      </c>
      <c r="T306" s="2">
        <f t="shared" si="6"/>
        <v>0</v>
      </c>
      <c r="U306" s="2">
        <f t="shared" si="7"/>
        <v>706238.8544</v>
      </c>
      <c r="V306" s="2">
        <f t="shared" si="8"/>
        <v>21718.6256</v>
      </c>
    </row>
    <row r="307" ht="15.75" customHeight="1">
      <c r="A307" s="2" t="s">
        <v>98</v>
      </c>
      <c r="B307" s="3">
        <v>45689.0</v>
      </c>
      <c r="C307" s="2" t="s">
        <v>24</v>
      </c>
      <c r="D307" s="2" t="s">
        <v>16</v>
      </c>
      <c r="E307" s="2">
        <v>46146.24</v>
      </c>
      <c r="F307" s="2">
        <v>5804.0</v>
      </c>
      <c r="G307" s="2">
        <v>0.047</v>
      </c>
      <c r="H307" s="2">
        <v>16.0</v>
      </c>
      <c r="I307" s="2">
        <v>86.9</v>
      </c>
      <c r="J307" s="2">
        <v>15.82</v>
      </c>
      <c r="K307" s="2">
        <v>0.0</v>
      </c>
      <c r="L307" s="2">
        <v>3.8</v>
      </c>
      <c r="M307" s="2">
        <v>538376.0</v>
      </c>
      <c r="N307" s="2">
        <v>87605.62</v>
      </c>
      <c r="O307" s="2">
        <f t="shared" si="1"/>
        <v>0</v>
      </c>
      <c r="P307" s="2">
        <f t="shared" si="2"/>
        <v>0</v>
      </c>
      <c r="Q307" s="2">
        <f t="shared" si="3"/>
        <v>1</v>
      </c>
      <c r="R307" s="2">
        <f t="shared" si="4"/>
        <v>0</v>
      </c>
      <c r="S307" s="2">
        <f t="shared" si="5"/>
        <v>0</v>
      </c>
      <c r="T307" s="2">
        <f t="shared" si="6"/>
        <v>0</v>
      </c>
      <c r="U307" s="2">
        <f t="shared" si="7"/>
        <v>649658.582</v>
      </c>
      <c r="V307" s="2">
        <f t="shared" si="8"/>
        <v>-111282.582</v>
      </c>
    </row>
    <row r="308" ht="15.75" customHeight="1">
      <c r="A308" s="2" t="s">
        <v>98</v>
      </c>
      <c r="B308" s="3">
        <v>45717.0</v>
      </c>
      <c r="C308" s="2" t="s">
        <v>24</v>
      </c>
      <c r="D308" s="2" t="s">
        <v>16</v>
      </c>
      <c r="E308" s="2">
        <v>22387.26</v>
      </c>
      <c r="F308" s="2">
        <v>6301.0</v>
      </c>
      <c r="G308" s="2">
        <v>0.146</v>
      </c>
      <c r="H308" s="2">
        <v>14.0</v>
      </c>
      <c r="I308" s="2">
        <v>85.9</v>
      </c>
      <c r="J308" s="2">
        <v>1.17</v>
      </c>
      <c r="K308" s="2">
        <v>1.0</v>
      </c>
      <c r="L308" s="2">
        <v>3.7</v>
      </c>
      <c r="M308" s="2">
        <v>665342.49</v>
      </c>
      <c r="N308" s="2">
        <v>93441.81</v>
      </c>
      <c r="O308" s="2">
        <f t="shared" si="1"/>
        <v>0</v>
      </c>
      <c r="P308" s="2">
        <f t="shared" si="2"/>
        <v>0</v>
      </c>
      <c r="Q308" s="2">
        <f t="shared" si="3"/>
        <v>1</v>
      </c>
      <c r="R308" s="2">
        <f t="shared" si="4"/>
        <v>0</v>
      </c>
      <c r="S308" s="2">
        <f t="shared" si="5"/>
        <v>0</v>
      </c>
      <c r="T308" s="2">
        <f t="shared" si="6"/>
        <v>0</v>
      </c>
      <c r="U308" s="2">
        <f t="shared" si="7"/>
        <v>635490.2008</v>
      </c>
      <c r="V308" s="2">
        <f t="shared" si="8"/>
        <v>29852.28918</v>
      </c>
    </row>
    <row r="309" ht="15.75" customHeight="1">
      <c r="A309" s="2" t="s">
        <v>98</v>
      </c>
      <c r="B309" s="3">
        <v>45748.0</v>
      </c>
      <c r="C309" s="2" t="s">
        <v>24</v>
      </c>
      <c r="D309" s="2" t="s">
        <v>16</v>
      </c>
      <c r="E309" s="2">
        <v>60684.05</v>
      </c>
      <c r="F309" s="2">
        <v>6399.0</v>
      </c>
      <c r="G309" s="2">
        <v>0.075</v>
      </c>
      <c r="H309" s="2">
        <v>16.0</v>
      </c>
      <c r="I309" s="2">
        <v>99.0</v>
      </c>
      <c r="J309" s="2">
        <v>3.82</v>
      </c>
      <c r="K309" s="2">
        <v>0.0</v>
      </c>
      <c r="L309" s="2">
        <v>3.5</v>
      </c>
      <c r="M309" s="2">
        <v>651164.18</v>
      </c>
      <c r="N309" s="2">
        <v>109466.5</v>
      </c>
      <c r="O309" s="2">
        <f t="shared" si="1"/>
        <v>0</v>
      </c>
      <c r="P309" s="2">
        <f t="shared" si="2"/>
        <v>0</v>
      </c>
      <c r="Q309" s="2">
        <f t="shared" si="3"/>
        <v>1</v>
      </c>
      <c r="R309" s="2">
        <f t="shared" si="4"/>
        <v>0</v>
      </c>
      <c r="S309" s="2">
        <f t="shared" si="5"/>
        <v>0</v>
      </c>
      <c r="T309" s="2">
        <f t="shared" si="6"/>
        <v>0</v>
      </c>
      <c r="U309" s="2">
        <f t="shared" si="7"/>
        <v>721152.0862</v>
      </c>
      <c r="V309" s="2">
        <f t="shared" si="8"/>
        <v>-69987.90625</v>
      </c>
    </row>
    <row r="310" ht="15.75" customHeight="1">
      <c r="A310" s="2" t="s">
        <v>99</v>
      </c>
      <c r="B310" s="3">
        <v>45658.0</v>
      </c>
      <c r="C310" s="2" t="s">
        <v>24</v>
      </c>
      <c r="D310" s="2" t="s">
        <v>18</v>
      </c>
      <c r="E310" s="2">
        <v>48465.6</v>
      </c>
      <c r="F310" s="2">
        <v>5759.0</v>
      </c>
      <c r="G310" s="2">
        <v>0.154</v>
      </c>
      <c r="H310" s="2">
        <v>13.0</v>
      </c>
      <c r="I310" s="2">
        <v>87.5</v>
      </c>
      <c r="J310" s="2">
        <v>4.14</v>
      </c>
      <c r="K310" s="2">
        <v>0.0</v>
      </c>
      <c r="L310" s="2">
        <v>4.0</v>
      </c>
      <c r="M310" s="2">
        <v>628538.3</v>
      </c>
      <c r="N310" s="2">
        <v>112509.15</v>
      </c>
      <c r="O310" s="2">
        <f t="shared" si="1"/>
        <v>0</v>
      </c>
      <c r="P310" s="2">
        <f t="shared" si="2"/>
        <v>0</v>
      </c>
      <c r="Q310" s="2">
        <f t="shared" si="3"/>
        <v>1</v>
      </c>
      <c r="R310" s="2">
        <f t="shared" si="4"/>
        <v>0</v>
      </c>
      <c r="S310" s="2">
        <f t="shared" si="5"/>
        <v>1</v>
      </c>
      <c r="T310" s="2">
        <f t="shared" si="6"/>
        <v>0</v>
      </c>
      <c r="U310" s="2">
        <f t="shared" si="7"/>
        <v>652576.5696</v>
      </c>
      <c r="V310" s="2">
        <f t="shared" si="8"/>
        <v>-24038.2696</v>
      </c>
    </row>
    <row r="311" ht="15.75" customHeight="1">
      <c r="A311" s="2" t="s">
        <v>99</v>
      </c>
      <c r="B311" s="3">
        <v>45689.0</v>
      </c>
      <c r="C311" s="2" t="s">
        <v>24</v>
      </c>
      <c r="D311" s="2" t="s">
        <v>18</v>
      </c>
      <c r="E311" s="2">
        <v>23702.38</v>
      </c>
      <c r="F311" s="2">
        <v>5285.0</v>
      </c>
      <c r="G311" s="2">
        <v>0.167</v>
      </c>
      <c r="H311" s="2">
        <v>14.0</v>
      </c>
      <c r="I311" s="2">
        <v>79.7</v>
      </c>
      <c r="J311" s="2">
        <v>1.1</v>
      </c>
      <c r="K311" s="2">
        <v>0.0</v>
      </c>
      <c r="L311" s="2">
        <v>4.3</v>
      </c>
      <c r="M311" s="2">
        <v>536524.84</v>
      </c>
      <c r="N311" s="2">
        <v>92752.94</v>
      </c>
      <c r="O311" s="2">
        <f t="shared" si="1"/>
        <v>0</v>
      </c>
      <c r="P311" s="2">
        <f t="shared" si="2"/>
        <v>0</v>
      </c>
      <c r="Q311" s="2">
        <f t="shared" si="3"/>
        <v>1</v>
      </c>
      <c r="R311" s="2">
        <f t="shared" si="4"/>
        <v>0</v>
      </c>
      <c r="S311" s="2">
        <f t="shared" si="5"/>
        <v>1</v>
      </c>
      <c r="T311" s="2">
        <f t="shared" si="6"/>
        <v>0</v>
      </c>
      <c r="U311" s="2">
        <f t="shared" si="7"/>
        <v>585169.6836</v>
      </c>
      <c r="V311" s="2">
        <f t="shared" si="8"/>
        <v>-48644.84356</v>
      </c>
    </row>
    <row r="312" ht="15.75" customHeight="1">
      <c r="A312" s="2" t="s">
        <v>99</v>
      </c>
      <c r="B312" s="3">
        <v>45717.0</v>
      </c>
      <c r="C312" s="2" t="s">
        <v>24</v>
      </c>
      <c r="D312" s="2" t="s">
        <v>18</v>
      </c>
      <c r="E312" s="2">
        <v>54322.94</v>
      </c>
      <c r="F312" s="2">
        <v>5434.0</v>
      </c>
      <c r="G312" s="2">
        <v>0.2</v>
      </c>
      <c r="H312" s="2">
        <v>13.0</v>
      </c>
      <c r="I312" s="2">
        <v>85.7</v>
      </c>
      <c r="J312" s="2">
        <v>10.6</v>
      </c>
      <c r="K312" s="2">
        <v>0.0</v>
      </c>
      <c r="L312" s="2">
        <v>4.2</v>
      </c>
      <c r="M312" s="2">
        <v>621677.3</v>
      </c>
      <c r="N312" s="2">
        <v>105192.52</v>
      </c>
      <c r="O312" s="2">
        <f t="shared" si="1"/>
        <v>0</v>
      </c>
      <c r="P312" s="2">
        <f t="shared" si="2"/>
        <v>0</v>
      </c>
      <c r="Q312" s="2">
        <f t="shared" si="3"/>
        <v>1</v>
      </c>
      <c r="R312" s="2">
        <f t="shared" si="4"/>
        <v>0</v>
      </c>
      <c r="S312" s="2">
        <f t="shared" si="5"/>
        <v>1</v>
      </c>
      <c r="T312" s="2">
        <f t="shared" si="6"/>
        <v>0</v>
      </c>
      <c r="U312" s="2">
        <f t="shared" si="7"/>
        <v>643445.1555</v>
      </c>
      <c r="V312" s="2">
        <f t="shared" si="8"/>
        <v>-21767.85551</v>
      </c>
    </row>
    <row r="313" ht="15.75" customHeight="1">
      <c r="A313" s="2" t="s">
        <v>99</v>
      </c>
      <c r="B313" s="3">
        <v>45748.0</v>
      </c>
      <c r="C313" s="2" t="s">
        <v>24</v>
      </c>
      <c r="D313" s="2" t="s">
        <v>18</v>
      </c>
      <c r="E313" s="2">
        <v>86026.58</v>
      </c>
      <c r="F313" s="2">
        <v>7479.0</v>
      </c>
      <c r="G313" s="2">
        <v>0.142</v>
      </c>
      <c r="H313" s="2">
        <v>20.0</v>
      </c>
      <c r="I313" s="2">
        <v>89.0</v>
      </c>
      <c r="J313" s="2">
        <v>0.9</v>
      </c>
      <c r="K313" s="2">
        <v>0.0</v>
      </c>
      <c r="L313" s="2"/>
      <c r="M313" s="2">
        <v>771129.07</v>
      </c>
      <c r="N313" s="2">
        <v>116851.13</v>
      </c>
      <c r="O313" s="2">
        <f t="shared" si="1"/>
        <v>0</v>
      </c>
      <c r="P313" s="2">
        <f t="shared" si="2"/>
        <v>0</v>
      </c>
      <c r="Q313" s="2">
        <f t="shared" si="3"/>
        <v>1</v>
      </c>
      <c r="R313" s="2">
        <f t="shared" si="4"/>
        <v>0</v>
      </c>
      <c r="S313" s="2">
        <f t="shared" si="5"/>
        <v>1</v>
      </c>
      <c r="T313" s="2">
        <f t="shared" si="6"/>
        <v>0</v>
      </c>
      <c r="U313" s="2">
        <f t="shared" si="7"/>
        <v>759607.4016</v>
      </c>
      <c r="V313" s="2">
        <f t="shared" si="8"/>
        <v>11521.66837</v>
      </c>
    </row>
    <row r="314" ht="15.75" customHeight="1">
      <c r="A314" s="2" t="s">
        <v>100</v>
      </c>
      <c r="B314" s="3">
        <v>45658.0</v>
      </c>
      <c r="C314" s="2" t="s">
        <v>20</v>
      </c>
      <c r="D314" s="2" t="s">
        <v>16</v>
      </c>
      <c r="E314" s="2">
        <v>78967.52</v>
      </c>
      <c r="F314" s="2">
        <v>6164.0</v>
      </c>
      <c r="G314" s="2">
        <v>0.021</v>
      </c>
      <c r="H314" s="2">
        <v>16.0</v>
      </c>
      <c r="I314" s="2">
        <v>85.5</v>
      </c>
      <c r="J314" s="2">
        <v>0.2</v>
      </c>
      <c r="K314" s="2">
        <v>0.0</v>
      </c>
      <c r="L314" s="2">
        <v>3.4</v>
      </c>
      <c r="M314" s="2">
        <v>702052.47</v>
      </c>
      <c r="N314" s="2">
        <v>121732.51</v>
      </c>
      <c r="O314" s="2">
        <f t="shared" si="1"/>
        <v>0</v>
      </c>
      <c r="P314" s="2">
        <f t="shared" si="2"/>
        <v>1</v>
      </c>
      <c r="Q314" s="2">
        <f t="shared" si="3"/>
        <v>0</v>
      </c>
      <c r="R314" s="2">
        <f t="shared" si="4"/>
        <v>0</v>
      </c>
      <c r="S314" s="2">
        <f t="shared" si="5"/>
        <v>0</v>
      </c>
      <c r="T314" s="2">
        <f t="shared" si="6"/>
        <v>0</v>
      </c>
      <c r="U314" s="2">
        <f t="shared" si="7"/>
        <v>685442.6295</v>
      </c>
      <c r="V314" s="2">
        <f t="shared" si="8"/>
        <v>16609.84048</v>
      </c>
    </row>
    <row r="315" ht="15.75" customHeight="1">
      <c r="A315" s="2" t="s">
        <v>100</v>
      </c>
      <c r="B315" s="3">
        <v>45689.0</v>
      </c>
      <c r="C315" s="2" t="s">
        <v>20</v>
      </c>
      <c r="D315" s="2" t="s">
        <v>16</v>
      </c>
      <c r="E315" s="2">
        <v>46767.99</v>
      </c>
      <c r="F315" s="2">
        <v>7973.0</v>
      </c>
      <c r="G315" s="2">
        <v>0.183</v>
      </c>
      <c r="H315" s="2">
        <v>18.0</v>
      </c>
      <c r="I315" s="2">
        <v>94.8</v>
      </c>
      <c r="J315" s="2">
        <v>4.67</v>
      </c>
      <c r="K315" s="2">
        <v>0.0</v>
      </c>
      <c r="L315" s="2"/>
      <c r="M315" s="2">
        <v>688368.46</v>
      </c>
      <c r="N315" s="2">
        <v>93588.42</v>
      </c>
      <c r="O315" s="2">
        <f t="shared" si="1"/>
        <v>0</v>
      </c>
      <c r="P315" s="2">
        <f t="shared" si="2"/>
        <v>1</v>
      </c>
      <c r="Q315" s="2">
        <f t="shared" si="3"/>
        <v>0</v>
      </c>
      <c r="R315" s="2">
        <f t="shared" si="4"/>
        <v>0</v>
      </c>
      <c r="S315" s="2">
        <f t="shared" si="5"/>
        <v>0</v>
      </c>
      <c r="T315" s="2">
        <f t="shared" si="6"/>
        <v>0</v>
      </c>
      <c r="U315" s="2">
        <f t="shared" si="7"/>
        <v>734721.4775</v>
      </c>
      <c r="V315" s="2">
        <f t="shared" si="8"/>
        <v>-46353.01752</v>
      </c>
    </row>
    <row r="316" ht="15.75" customHeight="1">
      <c r="A316" s="2" t="s">
        <v>100</v>
      </c>
      <c r="B316" s="3">
        <v>45717.0</v>
      </c>
      <c r="C316" s="2" t="s">
        <v>20</v>
      </c>
      <c r="D316" s="2" t="s">
        <v>16</v>
      </c>
      <c r="E316" s="2">
        <v>62507.16</v>
      </c>
      <c r="F316" s="2">
        <v>6000.0</v>
      </c>
      <c r="G316" s="2">
        <v>0.091</v>
      </c>
      <c r="H316" s="2">
        <v>14.0</v>
      </c>
      <c r="I316" s="2">
        <v>98.2</v>
      </c>
      <c r="J316" s="2">
        <v>4.38</v>
      </c>
      <c r="K316" s="2">
        <v>1.0</v>
      </c>
      <c r="L316" s="2">
        <v>3.9</v>
      </c>
      <c r="M316" s="2">
        <v>712375.77</v>
      </c>
      <c r="N316" s="2">
        <v>104171.53</v>
      </c>
      <c r="O316" s="2">
        <f t="shared" si="1"/>
        <v>0</v>
      </c>
      <c r="P316" s="2">
        <f t="shared" si="2"/>
        <v>1</v>
      </c>
      <c r="Q316" s="2">
        <f t="shared" si="3"/>
        <v>0</v>
      </c>
      <c r="R316" s="2">
        <f t="shared" si="4"/>
        <v>0</v>
      </c>
      <c r="S316" s="2">
        <f t="shared" si="5"/>
        <v>0</v>
      </c>
      <c r="T316" s="2">
        <f t="shared" si="6"/>
        <v>0</v>
      </c>
      <c r="U316" s="2">
        <f t="shared" si="7"/>
        <v>696153.5189</v>
      </c>
      <c r="V316" s="2">
        <f t="shared" si="8"/>
        <v>16222.25109</v>
      </c>
    </row>
    <row r="317" ht="15.75" customHeight="1">
      <c r="A317" s="2" t="s">
        <v>100</v>
      </c>
      <c r="B317" s="3">
        <v>45748.0</v>
      </c>
      <c r="C317" s="2" t="s">
        <v>20</v>
      </c>
      <c r="D317" s="2" t="s">
        <v>16</v>
      </c>
      <c r="E317" s="2">
        <v>66456.28</v>
      </c>
      <c r="F317" s="2">
        <v>9967.0</v>
      </c>
      <c r="G317" s="2">
        <v>0.108</v>
      </c>
      <c r="H317" s="2">
        <v>20.0</v>
      </c>
      <c r="I317" s="2">
        <v>94.7</v>
      </c>
      <c r="J317" s="2">
        <v>4.48</v>
      </c>
      <c r="K317" s="2">
        <v>0.0</v>
      </c>
      <c r="L317" s="2">
        <v>4.2</v>
      </c>
      <c r="M317" s="2">
        <v>844710.67</v>
      </c>
      <c r="N317" s="2">
        <v>137140.18</v>
      </c>
      <c r="O317" s="2">
        <f t="shared" si="1"/>
        <v>0</v>
      </c>
      <c r="P317" s="2">
        <f t="shared" si="2"/>
        <v>1</v>
      </c>
      <c r="Q317" s="2">
        <f t="shared" si="3"/>
        <v>0</v>
      </c>
      <c r="R317" s="2">
        <f t="shared" si="4"/>
        <v>0</v>
      </c>
      <c r="S317" s="2">
        <f t="shared" si="5"/>
        <v>0</v>
      </c>
      <c r="T317" s="2">
        <f t="shared" si="6"/>
        <v>0</v>
      </c>
      <c r="U317" s="2">
        <f t="shared" si="7"/>
        <v>825322.9326</v>
      </c>
      <c r="V317" s="2">
        <f t="shared" si="8"/>
        <v>19387.73742</v>
      </c>
    </row>
    <row r="318" ht="15.75" customHeight="1">
      <c r="A318" s="2" t="s">
        <v>101</v>
      </c>
      <c r="B318" s="3">
        <v>45658.0</v>
      </c>
      <c r="C318" s="2" t="s">
        <v>15</v>
      </c>
      <c r="D318" s="2" t="s">
        <v>16</v>
      </c>
      <c r="E318" s="2">
        <v>76614.32</v>
      </c>
      <c r="F318" s="2">
        <v>5639.0</v>
      </c>
      <c r="G318" s="2">
        <v>0.174</v>
      </c>
      <c r="H318" s="2">
        <v>15.0</v>
      </c>
      <c r="I318" s="2">
        <v>92.9</v>
      </c>
      <c r="J318" s="2">
        <v>1.02</v>
      </c>
      <c r="K318" s="2">
        <v>1.0</v>
      </c>
      <c r="L318" s="2">
        <v>4.0</v>
      </c>
      <c r="M318" s="2">
        <v>620264.2</v>
      </c>
      <c r="N318" s="2">
        <v>91365.64</v>
      </c>
      <c r="O318" s="2">
        <f t="shared" si="1"/>
        <v>1</v>
      </c>
      <c r="P318" s="2">
        <f t="shared" si="2"/>
        <v>0</v>
      </c>
      <c r="Q318" s="2">
        <f t="shared" si="3"/>
        <v>0</v>
      </c>
      <c r="R318" s="2">
        <f t="shared" si="4"/>
        <v>0</v>
      </c>
      <c r="S318" s="2">
        <f t="shared" si="5"/>
        <v>0</v>
      </c>
      <c r="T318" s="2">
        <f t="shared" si="6"/>
        <v>0</v>
      </c>
      <c r="U318" s="2">
        <f t="shared" si="7"/>
        <v>675179.8173</v>
      </c>
      <c r="V318" s="2">
        <f t="shared" si="8"/>
        <v>-54915.61731</v>
      </c>
    </row>
    <row r="319" ht="15.75" customHeight="1">
      <c r="A319" s="2" t="s">
        <v>101</v>
      </c>
      <c r="B319" s="3">
        <v>45689.0</v>
      </c>
      <c r="C319" s="2" t="s">
        <v>15</v>
      </c>
      <c r="D319" s="2" t="s">
        <v>16</v>
      </c>
      <c r="E319" s="2">
        <v>24088.06</v>
      </c>
      <c r="F319" s="2">
        <v>3466.0</v>
      </c>
      <c r="G319" s="2">
        <v>0.0</v>
      </c>
      <c r="H319" s="2">
        <v>11.0</v>
      </c>
      <c r="I319" s="2">
        <v>88.0</v>
      </c>
      <c r="J319" s="2">
        <v>0.2</v>
      </c>
      <c r="K319" s="2">
        <v>0.0</v>
      </c>
      <c r="L319" s="2">
        <v>3.8</v>
      </c>
      <c r="M319" s="2">
        <v>536845.42</v>
      </c>
      <c r="N319" s="2">
        <v>107473.75</v>
      </c>
      <c r="O319" s="2">
        <f t="shared" si="1"/>
        <v>1</v>
      </c>
      <c r="P319" s="2">
        <f t="shared" si="2"/>
        <v>0</v>
      </c>
      <c r="Q319" s="2">
        <f t="shared" si="3"/>
        <v>0</v>
      </c>
      <c r="R319" s="2">
        <f t="shared" si="4"/>
        <v>0</v>
      </c>
      <c r="S319" s="2">
        <f t="shared" si="5"/>
        <v>0</v>
      </c>
      <c r="T319" s="2">
        <f t="shared" si="6"/>
        <v>0</v>
      </c>
      <c r="U319" s="2">
        <f t="shared" si="7"/>
        <v>525474.7722</v>
      </c>
      <c r="V319" s="2">
        <f t="shared" si="8"/>
        <v>11370.64775</v>
      </c>
    </row>
    <row r="320" ht="15.75" customHeight="1">
      <c r="A320" s="2" t="s">
        <v>101</v>
      </c>
      <c r="B320" s="3">
        <v>45717.0</v>
      </c>
      <c r="C320" s="2" t="s">
        <v>15</v>
      </c>
      <c r="D320" s="2" t="s">
        <v>16</v>
      </c>
      <c r="E320" s="2">
        <v>81902.58</v>
      </c>
      <c r="F320" s="2">
        <v>7775.0</v>
      </c>
      <c r="G320" s="2">
        <v>0.215</v>
      </c>
      <c r="H320" s="2">
        <v>20.0</v>
      </c>
      <c r="I320" s="2">
        <v>85.2</v>
      </c>
      <c r="J320" s="2">
        <v>4.89</v>
      </c>
      <c r="K320" s="2">
        <v>1.0</v>
      </c>
      <c r="L320" s="2">
        <v>4.2</v>
      </c>
      <c r="M320" s="2">
        <v>726776.22</v>
      </c>
      <c r="N320" s="2">
        <v>90804.49</v>
      </c>
      <c r="O320" s="2">
        <f t="shared" si="1"/>
        <v>1</v>
      </c>
      <c r="P320" s="2">
        <f t="shared" si="2"/>
        <v>0</v>
      </c>
      <c r="Q320" s="2">
        <f t="shared" si="3"/>
        <v>0</v>
      </c>
      <c r="R320" s="2">
        <f t="shared" si="4"/>
        <v>0</v>
      </c>
      <c r="S320" s="2">
        <f t="shared" si="5"/>
        <v>0</v>
      </c>
      <c r="T320" s="2">
        <f t="shared" si="6"/>
        <v>0</v>
      </c>
      <c r="U320" s="2">
        <f t="shared" si="7"/>
        <v>732092.1678</v>
      </c>
      <c r="V320" s="2">
        <f t="shared" si="8"/>
        <v>-5315.947793</v>
      </c>
    </row>
    <row r="321" ht="15.75" customHeight="1">
      <c r="A321" s="2" t="s">
        <v>101</v>
      </c>
      <c r="B321" s="3">
        <v>45748.0</v>
      </c>
      <c r="C321" s="2" t="s">
        <v>15</v>
      </c>
      <c r="D321" s="2" t="s">
        <v>16</v>
      </c>
      <c r="E321" s="2">
        <v>40553.11</v>
      </c>
      <c r="F321" s="2">
        <v>5317.0</v>
      </c>
      <c r="G321" s="2">
        <v>0.165</v>
      </c>
      <c r="H321" s="2">
        <v>17.0</v>
      </c>
      <c r="I321" s="2">
        <v>84.3</v>
      </c>
      <c r="J321" s="2">
        <v>11.82</v>
      </c>
      <c r="K321" s="2">
        <v>0.0</v>
      </c>
      <c r="L321" s="2">
        <v>4.1</v>
      </c>
      <c r="M321" s="2">
        <v>559660.84</v>
      </c>
      <c r="N321" s="2">
        <v>71443.61</v>
      </c>
      <c r="O321" s="2">
        <f t="shared" si="1"/>
        <v>1</v>
      </c>
      <c r="P321" s="2">
        <f t="shared" si="2"/>
        <v>0</v>
      </c>
      <c r="Q321" s="2">
        <f t="shared" si="3"/>
        <v>0</v>
      </c>
      <c r="R321" s="2">
        <f t="shared" si="4"/>
        <v>0</v>
      </c>
      <c r="S321" s="2">
        <f t="shared" si="5"/>
        <v>0</v>
      </c>
      <c r="T321" s="2">
        <f t="shared" si="6"/>
        <v>0</v>
      </c>
      <c r="U321" s="2">
        <f t="shared" si="7"/>
        <v>597264.9515</v>
      </c>
      <c r="V321" s="2">
        <f t="shared" si="8"/>
        <v>-37604.11146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A4" s="7" t="s">
        <v>115</v>
      </c>
      <c r="B4" s="8"/>
      <c r="C4" s="8"/>
      <c r="D4" s="8"/>
      <c r="E4" s="8"/>
      <c r="F4" s="8"/>
      <c r="G4" s="8"/>
      <c r="H4" s="8"/>
      <c r="I4" s="8"/>
    </row>
    <row r="5">
      <c r="A5" s="9" t="s">
        <v>116</v>
      </c>
      <c r="B5" s="9" t="s">
        <v>117</v>
      </c>
      <c r="C5" s="9" t="s">
        <v>118</v>
      </c>
      <c r="D5" s="9" t="s">
        <v>119</v>
      </c>
      <c r="E5" s="9" t="s">
        <v>120</v>
      </c>
      <c r="F5" s="9" t="s">
        <v>121</v>
      </c>
      <c r="G5" s="9" t="s">
        <v>122</v>
      </c>
      <c r="H5" s="9" t="s">
        <v>123</v>
      </c>
      <c r="I5" s="9" t="s">
        <v>124</v>
      </c>
    </row>
    <row r="6">
      <c r="A6" s="10" t="s">
        <v>125</v>
      </c>
      <c r="B6" s="11">
        <v>0.0</v>
      </c>
      <c r="C6" s="11">
        <v>0.0</v>
      </c>
      <c r="D6" s="11">
        <v>0.0</v>
      </c>
      <c r="E6" s="11" t="s">
        <v>126</v>
      </c>
      <c r="F6" s="11">
        <v>0.0</v>
      </c>
      <c r="G6" s="11">
        <v>0.0</v>
      </c>
      <c r="H6" s="11">
        <v>320.0</v>
      </c>
      <c r="I6" s="12"/>
    </row>
    <row r="7">
      <c r="A7" s="13" t="s">
        <v>127</v>
      </c>
      <c r="B7" s="14">
        <v>0.433</v>
      </c>
      <c r="C7" s="14">
        <v>0.187</v>
      </c>
      <c r="D7" s="14">
        <v>0.185</v>
      </c>
      <c r="E7" s="14" t="s">
        <v>128</v>
      </c>
      <c r="F7" s="14">
        <v>0.187</v>
      </c>
      <c r="G7" s="14">
        <v>1.0</v>
      </c>
      <c r="H7" s="14">
        <v>319.0</v>
      </c>
      <c r="I7" s="14" t="s">
        <v>129</v>
      </c>
    </row>
    <row r="9">
      <c r="A9" s="7" t="s">
        <v>130</v>
      </c>
      <c r="B9" s="8"/>
      <c r="C9" s="8"/>
      <c r="D9" s="8"/>
      <c r="E9" s="8"/>
      <c r="F9" s="8"/>
      <c r="G9" s="8"/>
    </row>
    <row r="10">
      <c r="A10" s="9" t="s">
        <v>116</v>
      </c>
      <c r="B10" s="15"/>
      <c r="C10" s="9" t="s">
        <v>131</v>
      </c>
      <c r="D10" s="9" t="s">
        <v>132</v>
      </c>
      <c r="E10" s="9" t="s">
        <v>133</v>
      </c>
      <c r="F10" s="9" t="s">
        <v>134</v>
      </c>
      <c r="G10" s="9" t="s">
        <v>124</v>
      </c>
    </row>
    <row r="11">
      <c r="A11" s="10" t="s">
        <v>127</v>
      </c>
      <c r="B11" s="10" t="s">
        <v>135</v>
      </c>
      <c r="C11" s="11" t="s">
        <v>136</v>
      </c>
      <c r="D11" s="11">
        <v>1.0</v>
      </c>
      <c r="E11" s="11" t="s">
        <v>136</v>
      </c>
      <c r="F11" s="11">
        <v>73.59</v>
      </c>
      <c r="G11" s="11" t="s">
        <v>129</v>
      </c>
    </row>
    <row r="12">
      <c r="A12" s="16"/>
      <c r="B12" s="17" t="s">
        <v>114</v>
      </c>
      <c r="C12" s="18" t="s">
        <v>137</v>
      </c>
      <c r="D12" s="18">
        <v>319.0</v>
      </c>
      <c r="E12" s="18" t="s">
        <v>138</v>
      </c>
      <c r="F12" s="19"/>
      <c r="G12" s="19"/>
    </row>
    <row r="13">
      <c r="A13" s="20"/>
      <c r="B13" s="21" t="s">
        <v>139</v>
      </c>
      <c r="C13" s="22" t="s">
        <v>140</v>
      </c>
      <c r="D13" s="22">
        <v>320.0</v>
      </c>
      <c r="E13" s="23"/>
      <c r="F13" s="23"/>
      <c r="G13" s="23"/>
    </row>
    <row r="15">
      <c r="A15" s="7" t="s">
        <v>141</v>
      </c>
      <c r="B15" s="8"/>
      <c r="C15" s="8"/>
      <c r="D15" s="8"/>
      <c r="E15" s="8"/>
      <c r="F15" s="8"/>
      <c r="G15" s="8"/>
      <c r="H15" s="8"/>
      <c r="I15" s="8"/>
    </row>
    <row r="16">
      <c r="A16" s="24"/>
      <c r="H16" s="9" t="s">
        <v>142</v>
      </c>
      <c r="I16" s="8"/>
    </row>
    <row r="17">
      <c r="A17" s="9" t="s">
        <v>116</v>
      </c>
      <c r="B17" s="15"/>
      <c r="C17" s="9" t="s">
        <v>143</v>
      </c>
      <c r="D17" s="9" t="s">
        <v>144</v>
      </c>
      <c r="E17" s="9" t="s">
        <v>145</v>
      </c>
      <c r="F17" s="9" t="s">
        <v>146</v>
      </c>
      <c r="G17" s="9" t="s">
        <v>124</v>
      </c>
      <c r="H17" s="9" t="s">
        <v>147</v>
      </c>
      <c r="I17" s="9" t="s">
        <v>148</v>
      </c>
    </row>
    <row r="18">
      <c r="A18" s="10" t="s">
        <v>125</v>
      </c>
      <c r="B18" s="10" t="s">
        <v>149</v>
      </c>
      <c r="C18" s="11" t="s">
        <v>150</v>
      </c>
      <c r="D18" s="11">
        <v>6159.0</v>
      </c>
      <c r="E18" s="12"/>
      <c r="F18" s="11">
        <v>110.2</v>
      </c>
      <c r="G18" s="11" t="s">
        <v>129</v>
      </c>
      <c r="H18" s="11" t="s">
        <v>151</v>
      </c>
      <c r="I18" s="11" t="s">
        <v>152</v>
      </c>
    </row>
    <row r="19">
      <c r="A19" s="17" t="s">
        <v>127</v>
      </c>
      <c r="B19" s="17" t="s">
        <v>149</v>
      </c>
      <c r="C19" s="18" t="s">
        <v>153</v>
      </c>
      <c r="D19" s="18" t="s">
        <v>154</v>
      </c>
      <c r="E19" s="19"/>
      <c r="F19" s="18">
        <v>33.1</v>
      </c>
      <c r="G19" s="18" t="s">
        <v>129</v>
      </c>
      <c r="H19" s="18" t="s">
        <v>155</v>
      </c>
      <c r="I19" s="18" t="s">
        <v>156</v>
      </c>
    </row>
    <row r="20">
      <c r="A20" s="20"/>
      <c r="B20" s="21" t="s">
        <v>4</v>
      </c>
      <c r="C20" s="22">
        <v>2.372</v>
      </c>
      <c r="D20" s="22">
        <v>0.2765</v>
      </c>
      <c r="E20" s="22">
        <v>0.4329</v>
      </c>
      <c r="F20" s="22">
        <v>8.578</v>
      </c>
      <c r="G20" s="22" t="s">
        <v>129</v>
      </c>
      <c r="H20" s="22">
        <v>1.828</v>
      </c>
      <c r="I20" s="22">
        <v>2.916</v>
      </c>
    </row>
    <row r="22">
      <c r="A22" s="7" t="s">
        <v>157</v>
      </c>
      <c r="B22" s="8"/>
      <c r="C22" s="8"/>
      <c r="D22" s="8"/>
      <c r="E22" s="8"/>
    </row>
    <row r="23">
      <c r="A23" s="15"/>
      <c r="B23" s="9" t="s">
        <v>158</v>
      </c>
      <c r="C23" s="9" t="s">
        <v>159</v>
      </c>
      <c r="D23" s="9" t="s">
        <v>160</v>
      </c>
      <c r="E23" s="9" t="s">
        <v>161</v>
      </c>
    </row>
    <row r="24">
      <c r="A24" s="10" t="s">
        <v>12</v>
      </c>
      <c r="B24" s="11">
        <v>321.0</v>
      </c>
      <c r="C24" s="11" t="s">
        <v>150</v>
      </c>
      <c r="D24" s="11" t="s">
        <v>126</v>
      </c>
      <c r="E24" s="11">
        <v>6159.0</v>
      </c>
    </row>
    <row r="25">
      <c r="A25" s="13" t="s">
        <v>4</v>
      </c>
      <c r="B25" s="14">
        <v>321.0</v>
      </c>
      <c r="C25" s="14" t="s">
        <v>162</v>
      </c>
      <c r="D25" s="14" t="s">
        <v>163</v>
      </c>
      <c r="E25" s="14">
        <v>1124.0</v>
      </c>
    </row>
  </sheetData>
  <mergeCells count="6">
    <mergeCell ref="A4:I4"/>
    <mergeCell ref="A9:G9"/>
    <mergeCell ref="A15:I15"/>
    <mergeCell ref="A16:G16"/>
    <mergeCell ref="H16:I16"/>
    <mergeCell ref="A22:E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7" t="s">
        <v>115</v>
      </c>
      <c r="B3" s="8"/>
      <c r="C3" s="8"/>
      <c r="D3" s="8"/>
      <c r="E3" s="8"/>
      <c r="F3" s="8"/>
      <c r="G3" s="8"/>
      <c r="H3" s="8"/>
      <c r="I3" s="8"/>
    </row>
    <row r="4">
      <c r="A4" s="9" t="s">
        <v>116</v>
      </c>
      <c r="B4" s="9" t="s">
        <v>117</v>
      </c>
      <c r="C4" s="9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9" t="s">
        <v>124</v>
      </c>
    </row>
    <row r="5">
      <c r="A5" s="10" t="s">
        <v>125</v>
      </c>
      <c r="B5" s="11">
        <v>0.0</v>
      </c>
      <c r="C5" s="11">
        <v>0.0</v>
      </c>
      <c r="D5" s="11">
        <v>0.0</v>
      </c>
      <c r="E5" s="11" t="s">
        <v>126</v>
      </c>
      <c r="F5" s="11">
        <v>0.0</v>
      </c>
      <c r="G5" s="11">
        <v>0.0</v>
      </c>
      <c r="H5" s="11">
        <v>320.0</v>
      </c>
      <c r="I5" s="12"/>
    </row>
    <row r="6">
      <c r="A6" s="13" t="s">
        <v>127</v>
      </c>
      <c r="B6" s="14">
        <v>0.847</v>
      </c>
      <c r="C6" s="14">
        <v>0.718</v>
      </c>
      <c r="D6" s="14">
        <v>0.717</v>
      </c>
      <c r="E6" s="14" t="s">
        <v>164</v>
      </c>
      <c r="F6" s="14">
        <v>0.718</v>
      </c>
      <c r="G6" s="14">
        <v>1.0</v>
      </c>
      <c r="H6" s="14">
        <v>319.0</v>
      </c>
      <c r="I6" s="14" t="s">
        <v>129</v>
      </c>
    </row>
    <row r="8">
      <c r="A8" s="7" t="s">
        <v>130</v>
      </c>
      <c r="B8" s="8"/>
      <c r="C8" s="8"/>
      <c r="D8" s="8"/>
      <c r="E8" s="8"/>
      <c r="F8" s="8"/>
      <c r="G8" s="8"/>
    </row>
    <row r="9">
      <c r="A9" s="9" t="s">
        <v>116</v>
      </c>
      <c r="B9" s="15"/>
      <c r="C9" s="9" t="s">
        <v>131</v>
      </c>
      <c r="D9" s="9" t="s">
        <v>132</v>
      </c>
      <c r="E9" s="9" t="s">
        <v>133</v>
      </c>
      <c r="F9" s="9" t="s">
        <v>134</v>
      </c>
      <c r="G9" s="9" t="s">
        <v>124</v>
      </c>
    </row>
    <row r="10">
      <c r="A10" s="10" t="s">
        <v>127</v>
      </c>
      <c r="B10" s="10" t="s">
        <v>135</v>
      </c>
      <c r="C10" s="11" t="s">
        <v>165</v>
      </c>
      <c r="D10" s="11">
        <v>1.0</v>
      </c>
      <c r="E10" s="11" t="s">
        <v>165</v>
      </c>
      <c r="F10" s="11">
        <v>810.7</v>
      </c>
      <c r="G10" s="11" t="s">
        <v>129</v>
      </c>
    </row>
    <row r="11">
      <c r="A11" s="16"/>
      <c r="B11" s="17" t="s">
        <v>114</v>
      </c>
      <c r="C11" s="18" t="s">
        <v>166</v>
      </c>
      <c r="D11" s="18">
        <v>319.0</v>
      </c>
      <c r="E11" s="18" t="s">
        <v>167</v>
      </c>
      <c r="F11" s="19"/>
      <c r="G11" s="19"/>
    </row>
    <row r="12">
      <c r="A12" s="20"/>
      <c r="B12" s="21" t="s">
        <v>139</v>
      </c>
      <c r="C12" s="22" t="s">
        <v>140</v>
      </c>
      <c r="D12" s="22">
        <v>320.0</v>
      </c>
      <c r="E12" s="23"/>
      <c r="F12" s="23"/>
      <c r="G12" s="23"/>
    </row>
    <row r="14">
      <c r="A14" s="7" t="s">
        <v>141</v>
      </c>
      <c r="B14" s="8"/>
      <c r="C14" s="8"/>
      <c r="D14" s="8"/>
      <c r="E14" s="8"/>
      <c r="F14" s="8"/>
      <c r="G14" s="8"/>
      <c r="H14" s="8"/>
      <c r="I14" s="8"/>
    </row>
    <row r="15">
      <c r="A15" s="24"/>
      <c r="H15" s="9" t="s">
        <v>142</v>
      </c>
      <c r="I15" s="8"/>
    </row>
    <row r="16">
      <c r="A16" s="9" t="s">
        <v>116</v>
      </c>
      <c r="B16" s="15"/>
      <c r="C16" s="9" t="s">
        <v>143</v>
      </c>
      <c r="D16" s="9" t="s">
        <v>144</v>
      </c>
      <c r="E16" s="9" t="s">
        <v>145</v>
      </c>
      <c r="F16" s="9" t="s">
        <v>146</v>
      </c>
      <c r="G16" s="9" t="s">
        <v>124</v>
      </c>
      <c r="H16" s="9" t="s">
        <v>147</v>
      </c>
      <c r="I16" s="9" t="s">
        <v>148</v>
      </c>
    </row>
    <row r="17">
      <c r="A17" s="10" t="s">
        <v>125</v>
      </c>
      <c r="B17" s="10" t="s">
        <v>149</v>
      </c>
      <c r="C17" s="11" t="s">
        <v>150</v>
      </c>
      <c r="D17" s="11">
        <v>6159.0</v>
      </c>
      <c r="E17" s="12"/>
      <c r="F17" s="11">
        <v>110.2</v>
      </c>
      <c r="G17" s="11" t="s">
        <v>129</v>
      </c>
      <c r="H17" s="11" t="s">
        <v>151</v>
      </c>
      <c r="I17" s="11" t="s">
        <v>152</v>
      </c>
    </row>
    <row r="18">
      <c r="A18" s="17" t="s">
        <v>127</v>
      </c>
      <c r="B18" s="17" t="s">
        <v>149</v>
      </c>
      <c r="C18" s="18" t="s">
        <v>168</v>
      </c>
      <c r="D18" s="18">
        <v>9139.0</v>
      </c>
      <c r="E18" s="19"/>
      <c r="F18" s="18">
        <v>47.66</v>
      </c>
      <c r="G18" s="18" t="s">
        <v>129</v>
      </c>
      <c r="H18" s="18" t="s">
        <v>169</v>
      </c>
      <c r="I18" s="18" t="s">
        <v>170</v>
      </c>
    </row>
    <row r="19">
      <c r="A19" s="20"/>
      <c r="B19" s="21" t="s">
        <v>171</v>
      </c>
      <c r="C19" s="22">
        <v>37.12</v>
      </c>
      <c r="D19" s="22">
        <v>1.304</v>
      </c>
      <c r="E19" s="22">
        <v>0.8471</v>
      </c>
      <c r="F19" s="22">
        <v>28.47</v>
      </c>
      <c r="G19" s="22" t="s">
        <v>129</v>
      </c>
      <c r="H19" s="22">
        <v>34.55</v>
      </c>
      <c r="I19" s="22">
        <v>39.68</v>
      </c>
    </row>
    <row r="21">
      <c r="A21" s="7" t="s">
        <v>157</v>
      </c>
      <c r="B21" s="8"/>
      <c r="C21" s="8"/>
      <c r="D21" s="8"/>
      <c r="E21" s="8"/>
    </row>
    <row r="22">
      <c r="A22" s="15"/>
      <c r="B22" s="9" t="s">
        <v>158</v>
      </c>
      <c r="C22" s="9" t="s">
        <v>159</v>
      </c>
      <c r="D22" s="9" t="s">
        <v>160</v>
      </c>
      <c r="E22" s="9" t="s">
        <v>161</v>
      </c>
    </row>
    <row r="23">
      <c r="A23" s="10" t="s">
        <v>12</v>
      </c>
      <c r="B23" s="11">
        <v>321.0</v>
      </c>
      <c r="C23" s="11" t="s">
        <v>150</v>
      </c>
      <c r="D23" s="11" t="s">
        <v>126</v>
      </c>
      <c r="E23" s="11">
        <v>6159.0</v>
      </c>
    </row>
    <row r="24">
      <c r="A24" s="13" t="s">
        <v>5</v>
      </c>
      <c r="B24" s="14">
        <v>321.0</v>
      </c>
      <c r="C24" s="14">
        <v>6544.0</v>
      </c>
      <c r="D24" s="14">
        <v>2519.0</v>
      </c>
      <c r="E24" s="14">
        <v>140.6</v>
      </c>
    </row>
  </sheetData>
  <mergeCells count="6">
    <mergeCell ref="A3:I3"/>
    <mergeCell ref="A8:G8"/>
    <mergeCell ref="A14:I14"/>
    <mergeCell ref="A15:G15"/>
    <mergeCell ref="H15:I15"/>
    <mergeCell ref="A21:E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115</v>
      </c>
      <c r="B1" s="8"/>
      <c r="C1" s="8"/>
      <c r="D1" s="8"/>
      <c r="E1" s="8"/>
      <c r="F1" s="8"/>
      <c r="G1" s="8"/>
      <c r="H1" s="8"/>
      <c r="I1" s="8"/>
    </row>
    <row r="2">
      <c r="A2" s="9" t="s">
        <v>116</v>
      </c>
      <c r="B2" s="9" t="s">
        <v>117</v>
      </c>
      <c r="C2" s="9" t="s">
        <v>118</v>
      </c>
      <c r="D2" s="9" t="s">
        <v>119</v>
      </c>
      <c r="E2" s="9" t="s">
        <v>120</v>
      </c>
      <c r="F2" s="9" t="s">
        <v>121</v>
      </c>
      <c r="G2" s="9" t="s">
        <v>122</v>
      </c>
      <c r="H2" s="9" t="s">
        <v>123</v>
      </c>
      <c r="I2" s="9" t="s">
        <v>124</v>
      </c>
    </row>
    <row r="3">
      <c r="A3" s="10" t="s">
        <v>125</v>
      </c>
      <c r="B3" s="11">
        <v>0.0</v>
      </c>
      <c r="C3" s="11">
        <v>0.0</v>
      </c>
      <c r="D3" s="11">
        <v>0.0</v>
      </c>
      <c r="E3" s="11" t="s">
        <v>172</v>
      </c>
      <c r="F3" s="11">
        <v>0.0</v>
      </c>
      <c r="G3" s="11">
        <v>0.0</v>
      </c>
      <c r="H3" s="11">
        <v>319.0</v>
      </c>
      <c r="I3" s="12"/>
    </row>
    <row r="4">
      <c r="A4" s="13" t="s">
        <v>127</v>
      </c>
      <c r="B4" s="14">
        <v>0.901</v>
      </c>
      <c r="C4" s="14">
        <v>0.811</v>
      </c>
      <c r="D4" s="14">
        <v>0.808</v>
      </c>
      <c r="E4" s="14" t="s">
        <v>173</v>
      </c>
      <c r="F4" s="14">
        <v>0.811</v>
      </c>
      <c r="G4" s="14">
        <v>6.0</v>
      </c>
      <c r="H4" s="14">
        <v>313.0</v>
      </c>
      <c r="I4" s="14" t="s">
        <v>129</v>
      </c>
    </row>
    <row r="6">
      <c r="A6" s="7" t="s">
        <v>130</v>
      </c>
      <c r="B6" s="8"/>
      <c r="C6" s="8"/>
      <c r="D6" s="8"/>
      <c r="E6" s="8"/>
      <c r="F6" s="8"/>
      <c r="G6" s="8"/>
    </row>
    <row r="7">
      <c r="A7" s="9" t="s">
        <v>116</v>
      </c>
      <c r="B7" s="15"/>
      <c r="C7" s="9" t="s">
        <v>131</v>
      </c>
      <c r="D7" s="9" t="s">
        <v>132</v>
      </c>
      <c r="E7" s="9" t="s">
        <v>133</v>
      </c>
      <c r="F7" s="9" t="s">
        <v>134</v>
      </c>
      <c r="G7" s="9" t="s">
        <v>124</v>
      </c>
    </row>
    <row r="8">
      <c r="A8" s="10" t="s">
        <v>127</v>
      </c>
      <c r="B8" s="10" t="s">
        <v>135</v>
      </c>
      <c r="C8" s="11" t="s">
        <v>174</v>
      </c>
      <c r="D8" s="11">
        <v>6.0</v>
      </c>
      <c r="E8" s="11" t="s">
        <v>175</v>
      </c>
      <c r="F8" s="11">
        <v>224.4</v>
      </c>
      <c r="G8" s="11" t="s">
        <v>129</v>
      </c>
    </row>
    <row r="9">
      <c r="A9" s="16"/>
      <c r="B9" s="17" t="s">
        <v>114</v>
      </c>
      <c r="C9" s="18" t="s">
        <v>176</v>
      </c>
      <c r="D9" s="18">
        <v>313.0</v>
      </c>
      <c r="E9" s="18" t="s">
        <v>177</v>
      </c>
      <c r="F9" s="19"/>
      <c r="G9" s="19"/>
    </row>
    <row r="10">
      <c r="A10" s="20"/>
      <c r="B10" s="21" t="s">
        <v>139</v>
      </c>
      <c r="C10" s="22" t="s">
        <v>178</v>
      </c>
      <c r="D10" s="22">
        <v>319.0</v>
      </c>
      <c r="E10" s="23"/>
      <c r="F10" s="23"/>
      <c r="G10" s="23"/>
    </row>
    <row r="12">
      <c r="A12" s="7" t="s">
        <v>141</v>
      </c>
      <c r="B12" s="8"/>
      <c r="C12" s="8"/>
      <c r="D12" s="8"/>
      <c r="E12" s="8"/>
      <c r="F12" s="8"/>
      <c r="G12" s="8"/>
      <c r="H12" s="8"/>
      <c r="I12" s="8"/>
    </row>
    <row r="13">
      <c r="A13" s="24"/>
      <c r="H13" s="9" t="s">
        <v>142</v>
      </c>
      <c r="I13" s="8"/>
    </row>
    <row r="14">
      <c r="A14" s="9" t="s">
        <v>116</v>
      </c>
      <c r="B14" s="15"/>
      <c r="C14" s="9" t="s">
        <v>143</v>
      </c>
      <c r="D14" s="9" t="s">
        <v>144</v>
      </c>
      <c r="E14" s="9" t="s">
        <v>145</v>
      </c>
      <c r="F14" s="9" t="s">
        <v>146</v>
      </c>
      <c r="G14" s="9" t="s">
        <v>124</v>
      </c>
      <c r="H14" s="9" t="s">
        <v>147</v>
      </c>
      <c r="I14" s="9" t="s">
        <v>148</v>
      </c>
    </row>
    <row r="15">
      <c r="A15" s="10" t="s">
        <v>125</v>
      </c>
      <c r="B15" s="10" t="s">
        <v>149</v>
      </c>
      <c r="C15" s="11" t="s">
        <v>179</v>
      </c>
      <c r="D15" s="11">
        <v>5801.0</v>
      </c>
      <c r="E15" s="12"/>
      <c r="F15" s="11">
        <v>117.3</v>
      </c>
      <c r="G15" s="11" t="s">
        <v>129</v>
      </c>
      <c r="H15" s="11" t="s">
        <v>180</v>
      </c>
      <c r="I15" s="11" t="s">
        <v>181</v>
      </c>
    </row>
    <row r="16">
      <c r="A16" s="17" t="s">
        <v>127</v>
      </c>
      <c r="B16" s="17" t="s">
        <v>149</v>
      </c>
      <c r="C16" s="18" t="s">
        <v>182</v>
      </c>
      <c r="D16" s="18" t="s">
        <v>183</v>
      </c>
      <c r="E16" s="19"/>
      <c r="F16" s="18">
        <v>3.393</v>
      </c>
      <c r="G16" s="18" t="s">
        <v>129</v>
      </c>
      <c r="H16" s="18" t="s">
        <v>184</v>
      </c>
      <c r="I16" s="18" t="s">
        <v>185</v>
      </c>
    </row>
    <row r="17">
      <c r="A17" s="25"/>
      <c r="B17" s="10" t="s">
        <v>4</v>
      </c>
      <c r="C17" s="11">
        <v>1.186</v>
      </c>
      <c r="D17" s="11">
        <v>0.1317</v>
      </c>
      <c r="E17" s="11">
        <v>0.2277</v>
      </c>
      <c r="F17" s="11">
        <v>9.004</v>
      </c>
      <c r="G17" s="11" t="s">
        <v>129</v>
      </c>
      <c r="H17" s="11">
        <v>0.9268</v>
      </c>
      <c r="I17" s="11">
        <v>1.445</v>
      </c>
    </row>
    <row r="18">
      <c r="A18" s="16"/>
      <c r="B18" s="17" t="s">
        <v>5</v>
      </c>
      <c r="C18" s="18">
        <v>33.87</v>
      </c>
      <c r="D18" s="18">
        <v>1.056</v>
      </c>
      <c r="E18" s="18">
        <v>0.8146</v>
      </c>
      <c r="F18" s="18">
        <v>32.09</v>
      </c>
      <c r="G18" s="18" t="s">
        <v>129</v>
      </c>
      <c r="H18" s="18">
        <v>31.79</v>
      </c>
      <c r="I18" s="18">
        <v>35.95</v>
      </c>
    </row>
    <row r="19">
      <c r="A19" s="25"/>
      <c r="B19" s="10" t="s">
        <v>8</v>
      </c>
      <c r="C19" s="11">
        <v>2818.0</v>
      </c>
      <c r="D19" s="11">
        <v>477.8</v>
      </c>
      <c r="E19" s="11">
        <v>0.1455</v>
      </c>
      <c r="F19" s="11">
        <v>5.898</v>
      </c>
      <c r="G19" s="11" t="s">
        <v>129</v>
      </c>
      <c r="H19" s="11">
        <v>1878.0</v>
      </c>
      <c r="I19" s="11">
        <v>3758.0</v>
      </c>
    </row>
    <row r="20">
      <c r="A20" s="16"/>
      <c r="B20" s="17" t="s">
        <v>107</v>
      </c>
      <c r="C20" s="18" t="s">
        <v>186</v>
      </c>
      <c r="D20" s="18">
        <v>6556.0</v>
      </c>
      <c r="E20" s="18">
        <v>-0.07907</v>
      </c>
      <c r="F20" s="18">
        <v>-2.668</v>
      </c>
      <c r="G20" s="18">
        <v>0.008</v>
      </c>
      <c r="H20" s="18" t="s">
        <v>187</v>
      </c>
      <c r="I20" s="18">
        <v>-4592.0</v>
      </c>
    </row>
    <row r="21">
      <c r="A21" s="25"/>
      <c r="B21" s="10" t="s">
        <v>108</v>
      </c>
      <c r="C21" s="11">
        <v>-6944.0</v>
      </c>
      <c r="D21" s="11">
        <v>7412.0</v>
      </c>
      <c r="E21" s="11">
        <v>-0.02681</v>
      </c>
      <c r="F21" s="11">
        <v>-0.9368</v>
      </c>
      <c r="G21" s="11">
        <v>0.35</v>
      </c>
      <c r="H21" s="11" t="s">
        <v>188</v>
      </c>
      <c r="I21" s="11">
        <v>7640.0</v>
      </c>
    </row>
    <row r="22">
      <c r="A22" s="26"/>
      <c r="B22" s="13" t="s">
        <v>109</v>
      </c>
      <c r="C22" s="14">
        <v>4449.0</v>
      </c>
      <c r="D22" s="14">
        <v>7558.0</v>
      </c>
      <c r="E22" s="14">
        <v>0.01676</v>
      </c>
      <c r="F22" s="14">
        <v>0.5886</v>
      </c>
      <c r="G22" s="14">
        <v>0.557</v>
      </c>
      <c r="H22" s="14" t="s">
        <v>189</v>
      </c>
      <c r="I22" s="14" t="s">
        <v>190</v>
      </c>
    </row>
    <row r="24">
      <c r="A24" s="7" t="s">
        <v>191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>
      <c r="A25" s="24"/>
      <c r="E25" s="9" t="s">
        <v>192</v>
      </c>
      <c r="F25" s="8"/>
      <c r="G25" s="8"/>
      <c r="H25" s="8"/>
      <c r="I25" s="8"/>
      <c r="J25" s="8"/>
      <c r="K25" s="8"/>
    </row>
    <row r="26">
      <c r="A26" s="9" t="s">
        <v>116</v>
      </c>
      <c r="B26" s="9" t="s">
        <v>193</v>
      </c>
      <c r="C26" s="9" t="s">
        <v>194</v>
      </c>
      <c r="D26" s="9" t="s">
        <v>195</v>
      </c>
      <c r="E26" s="9" t="s">
        <v>149</v>
      </c>
      <c r="F26" s="10" t="s">
        <v>4</v>
      </c>
      <c r="G26" s="17" t="s">
        <v>5</v>
      </c>
      <c r="H26" s="10" t="s">
        <v>8</v>
      </c>
      <c r="I26" s="17" t="s">
        <v>107</v>
      </c>
      <c r="J26" s="10" t="s">
        <v>108</v>
      </c>
      <c r="K26" s="13" t="s">
        <v>109</v>
      </c>
    </row>
    <row r="27">
      <c r="A27" s="10" t="s">
        <v>127</v>
      </c>
      <c r="B27" s="11">
        <v>1.0</v>
      </c>
      <c r="C27" s="11">
        <v>4.583</v>
      </c>
      <c r="D27" s="11">
        <v>1.0</v>
      </c>
      <c r="E27" s="11">
        <v>0.0</v>
      </c>
      <c r="F27" s="11">
        <v>0.005</v>
      </c>
      <c r="G27" s="11">
        <v>0.005</v>
      </c>
      <c r="H27" s="11">
        <v>0.0</v>
      </c>
      <c r="I27" s="11">
        <v>0.008</v>
      </c>
      <c r="J27" s="11">
        <v>0.006</v>
      </c>
      <c r="K27" s="11">
        <v>0.006</v>
      </c>
    </row>
    <row r="28">
      <c r="A28" s="16"/>
      <c r="B28" s="18">
        <v>2.0</v>
      </c>
      <c r="C28" s="18">
        <v>1.001</v>
      </c>
      <c r="D28" s="18">
        <v>2.14</v>
      </c>
      <c r="E28" s="18">
        <v>0.0</v>
      </c>
      <c r="F28" s="18">
        <v>0.0</v>
      </c>
      <c r="G28" s="18">
        <v>0.0</v>
      </c>
      <c r="H28" s="18">
        <v>0.0</v>
      </c>
      <c r="I28" s="18">
        <v>0.179</v>
      </c>
      <c r="J28" s="18">
        <v>0.359</v>
      </c>
      <c r="K28" s="18">
        <v>0.001</v>
      </c>
    </row>
    <row r="29">
      <c r="A29" s="25"/>
      <c r="B29" s="11">
        <v>3.0</v>
      </c>
      <c r="C29" s="11">
        <v>1.0</v>
      </c>
      <c r="D29" s="11">
        <v>2.141</v>
      </c>
      <c r="E29" s="11">
        <v>0.0</v>
      </c>
      <c r="F29" s="11">
        <v>0.0</v>
      </c>
      <c r="G29" s="11">
        <v>0.0</v>
      </c>
      <c r="H29" s="11">
        <v>0.0</v>
      </c>
      <c r="I29" s="11">
        <v>0.067</v>
      </c>
      <c r="J29" s="11">
        <v>0.069</v>
      </c>
      <c r="K29" s="11">
        <v>0.445</v>
      </c>
    </row>
    <row r="30">
      <c r="A30" s="16"/>
      <c r="B30" s="18">
        <v>4.0</v>
      </c>
      <c r="C30" s="18">
        <v>0.2483</v>
      </c>
      <c r="D30" s="18">
        <v>4.296</v>
      </c>
      <c r="E30" s="18">
        <v>0.0</v>
      </c>
      <c r="F30" s="18">
        <v>0.027</v>
      </c>
      <c r="G30" s="18">
        <v>0.036</v>
      </c>
      <c r="H30" s="18">
        <v>0.0</v>
      </c>
      <c r="I30" s="18">
        <v>0.714</v>
      </c>
      <c r="J30" s="18">
        <v>0.518</v>
      </c>
      <c r="K30" s="18">
        <v>0.519</v>
      </c>
    </row>
    <row r="31">
      <c r="A31" s="25"/>
      <c r="B31" s="11">
        <v>5.0</v>
      </c>
      <c r="C31" s="11">
        <v>0.0916</v>
      </c>
      <c r="D31" s="11">
        <v>7.074</v>
      </c>
      <c r="E31" s="11">
        <v>0.001</v>
      </c>
      <c r="F31" s="11">
        <v>0.351</v>
      </c>
      <c r="G31" s="11">
        <v>0.836</v>
      </c>
      <c r="H31" s="11">
        <v>0.001</v>
      </c>
      <c r="I31" s="11">
        <v>0.001</v>
      </c>
      <c r="J31" s="11">
        <v>0.013</v>
      </c>
      <c r="K31" s="11">
        <v>0.003</v>
      </c>
    </row>
    <row r="32">
      <c r="A32" s="16"/>
      <c r="B32" s="18">
        <v>6.0</v>
      </c>
      <c r="C32" s="18">
        <v>0.07379</v>
      </c>
      <c r="D32" s="18">
        <v>7.881</v>
      </c>
      <c r="E32" s="18">
        <v>0.01</v>
      </c>
      <c r="F32" s="18">
        <v>0.606</v>
      </c>
      <c r="G32" s="18">
        <v>0.117</v>
      </c>
      <c r="H32" s="18">
        <v>0.013</v>
      </c>
      <c r="I32" s="18">
        <v>0.018</v>
      </c>
      <c r="J32" s="18">
        <v>0.033</v>
      </c>
      <c r="K32" s="18">
        <v>0.023</v>
      </c>
    </row>
    <row r="33">
      <c r="A33" s="20"/>
      <c r="B33" s="22">
        <v>7.0</v>
      </c>
      <c r="C33" s="22">
        <v>0.001764</v>
      </c>
      <c r="D33" s="22">
        <v>50.97</v>
      </c>
      <c r="E33" s="22">
        <v>0.989</v>
      </c>
      <c r="F33" s="22">
        <v>0.011</v>
      </c>
      <c r="G33" s="22">
        <v>0.006</v>
      </c>
      <c r="H33" s="22">
        <v>0.986</v>
      </c>
      <c r="I33" s="22">
        <v>0.012</v>
      </c>
      <c r="J33" s="22">
        <v>0.002</v>
      </c>
      <c r="K33" s="22">
        <v>0.004</v>
      </c>
    </row>
  </sheetData>
  <mergeCells count="8">
    <mergeCell ref="A1:I1"/>
    <mergeCell ref="A6:G6"/>
    <mergeCell ref="A12:I12"/>
    <mergeCell ref="A13:G13"/>
    <mergeCell ref="H13:I13"/>
    <mergeCell ref="A24:K24"/>
    <mergeCell ref="A25:D25"/>
    <mergeCell ref="E25:K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3.25" customHeight="1">
      <c r="A1" s="27" t="s">
        <v>0</v>
      </c>
      <c r="B1" s="28" t="s">
        <v>1</v>
      </c>
      <c r="C1" s="27" t="s">
        <v>12</v>
      </c>
      <c r="D1" s="27" t="s">
        <v>113</v>
      </c>
      <c r="E1" s="27" t="s">
        <v>114</v>
      </c>
    </row>
    <row r="2">
      <c r="A2" s="29" t="s">
        <v>14</v>
      </c>
      <c r="B2" s="30">
        <v>45658.0</v>
      </c>
      <c r="C2" s="31">
        <v>658832.62</v>
      </c>
      <c r="D2" s="31">
        <v>707538.5797176</v>
      </c>
      <c r="E2" s="31">
        <v>-48705.959717600024</v>
      </c>
    </row>
    <row r="3">
      <c r="A3" s="29" t="s">
        <v>14</v>
      </c>
      <c r="B3" s="30">
        <v>45689.0</v>
      </c>
      <c r="C3" s="31">
        <v>634436.0</v>
      </c>
      <c r="D3" s="31">
        <v>708787.9775024</v>
      </c>
      <c r="E3" s="31">
        <v>-74351.97750240006</v>
      </c>
    </row>
    <row r="4">
      <c r="A4" s="29" t="s">
        <v>14</v>
      </c>
      <c r="B4" s="30">
        <v>45717.0</v>
      </c>
      <c r="C4" s="31">
        <v>678722.06</v>
      </c>
      <c r="D4" s="31">
        <v>759223.3874799999</v>
      </c>
      <c r="E4" s="31">
        <v>-80501.32747999986</v>
      </c>
    </row>
    <row r="5">
      <c r="A5" s="29" t="s">
        <v>14</v>
      </c>
      <c r="B5" s="30">
        <v>45748.0</v>
      </c>
      <c r="C5" s="31">
        <v>658920.3</v>
      </c>
      <c r="D5" s="31">
        <v>763257.3237408</v>
      </c>
      <c r="E5" s="31">
        <v>-104337.02374079998</v>
      </c>
    </row>
    <row r="6">
      <c r="A6" s="29" t="s">
        <v>17</v>
      </c>
      <c r="B6" s="30">
        <v>45658.0</v>
      </c>
      <c r="C6" s="31">
        <v>741341.44</v>
      </c>
      <c r="D6" s="31">
        <v>787255.6375623998</v>
      </c>
      <c r="E6" s="31">
        <v>-45914.1975623999</v>
      </c>
    </row>
    <row r="7">
      <c r="A7" s="29" t="s">
        <v>17</v>
      </c>
      <c r="B7" s="30">
        <v>45689.0</v>
      </c>
      <c r="C7" s="31">
        <v>761835.34</v>
      </c>
      <c r="D7" s="31">
        <v>777309.7188536001</v>
      </c>
      <c r="E7" s="31">
        <v>-15474.378853600123</v>
      </c>
    </row>
    <row r="8">
      <c r="A8" s="29" t="s">
        <v>17</v>
      </c>
      <c r="B8" s="30">
        <v>45717.0</v>
      </c>
      <c r="C8" s="31">
        <v>806615.54</v>
      </c>
      <c r="D8" s="31">
        <v>785973.875852</v>
      </c>
      <c r="E8" s="31">
        <v>20641.66414800007</v>
      </c>
    </row>
    <row r="9">
      <c r="A9" s="29" t="s">
        <v>17</v>
      </c>
      <c r="B9" s="30">
        <v>45748.0</v>
      </c>
      <c r="C9" s="31">
        <v>850164.26</v>
      </c>
      <c r="D9" s="31">
        <v>771907.9519832</v>
      </c>
      <c r="E9" s="31">
        <v>78256.30801679997</v>
      </c>
    </row>
    <row r="10">
      <c r="A10" s="29" t="s">
        <v>19</v>
      </c>
      <c r="B10" s="30">
        <v>45658.0</v>
      </c>
      <c r="C10" s="31">
        <v>930581.7</v>
      </c>
      <c r="D10" s="31">
        <v>848790.1436776002</v>
      </c>
      <c r="E10" s="31">
        <v>81791.55632239976</v>
      </c>
    </row>
    <row r="11">
      <c r="A11" s="29" t="s">
        <v>19</v>
      </c>
      <c r="B11" s="30">
        <v>45689.0</v>
      </c>
      <c r="C11" s="31">
        <v>779010.94</v>
      </c>
      <c r="D11" s="31">
        <v>782772.7546904001</v>
      </c>
      <c r="E11" s="31">
        <v>-3761.814690400148</v>
      </c>
    </row>
    <row r="12">
      <c r="A12" s="29" t="s">
        <v>19</v>
      </c>
      <c r="B12" s="30">
        <v>45717.0</v>
      </c>
      <c r="C12" s="31">
        <v>723060.76</v>
      </c>
      <c r="D12" s="31">
        <v>742203.3166936</v>
      </c>
      <c r="E12" s="31">
        <v>-19142.556693600025</v>
      </c>
    </row>
    <row r="13">
      <c r="A13" s="29" t="s">
        <v>19</v>
      </c>
      <c r="B13" s="30">
        <v>45748.0</v>
      </c>
      <c r="C13" s="31">
        <v>910791.94</v>
      </c>
      <c r="D13" s="31">
        <v>843413.6034608001</v>
      </c>
      <c r="E13" s="31">
        <v>67378.33653919981</v>
      </c>
    </row>
    <row r="14">
      <c r="A14" s="29" t="s">
        <v>22</v>
      </c>
      <c r="B14" s="30">
        <v>45658.0</v>
      </c>
      <c r="C14" s="31">
        <v>922168.6</v>
      </c>
      <c r="D14" s="31">
        <v>879611.6323816</v>
      </c>
      <c r="E14" s="31">
        <v>42556.9676184</v>
      </c>
    </row>
    <row r="15">
      <c r="A15" s="29" t="s">
        <v>22</v>
      </c>
      <c r="B15" s="30">
        <v>45689.0</v>
      </c>
      <c r="C15" s="31">
        <v>726606.28</v>
      </c>
      <c r="D15" s="31">
        <v>777367.9962112</v>
      </c>
      <c r="E15" s="31">
        <v>-50761.71621119999</v>
      </c>
    </row>
    <row r="16">
      <c r="A16" s="29" t="s">
        <v>22</v>
      </c>
      <c r="B16" s="30">
        <v>45717.0</v>
      </c>
      <c r="C16" s="31">
        <v>746501.09</v>
      </c>
      <c r="D16" s="31">
        <v>754080.4358816</v>
      </c>
      <c r="E16" s="31">
        <v>-7579.345881600049</v>
      </c>
    </row>
    <row r="17">
      <c r="A17" s="29" t="s">
        <v>22</v>
      </c>
      <c r="B17" s="30">
        <v>45748.0</v>
      </c>
      <c r="C17" s="31">
        <v>834017.02</v>
      </c>
      <c r="D17" s="31">
        <v>806937.4009736</v>
      </c>
      <c r="E17" s="31">
        <v>27079.619026400032</v>
      </c>
    </row>
    <row r="18">
      <c r="A18" s="29" t="s">
        <v>23</v>
      </c>
      <c r="B18" s="30">
        <v>45658.0</v>
      </c>
      <c r="C18" s="31">
        <v>666152.52</v>
      </c>
      <c r="D18" s="31">
        <v>697500.5600952001</v>
      </c>
      <c r="E18" s="31">
        <v>-31348.040095200064</v>
      </c>
    </row>
    <row r="19">
      <c r="A19" s="29" t="s">
        <v>23</v>
      </c>
      <c r="B19" s="30">
        <v>45689.0</v>
      </c>
      <c r="C19" s="31">
        <v>573155.19</v>
      </c>
      <c r="D19" s="31">
        <v>614829.425764</v>
      </c>
      <c r="E19" s="31">
        <v>-41674.2357640001</v>
      </c>
    </row>
    <row r="20">
      <c r="A20" s="29" t="s">
        <v>23</v>
      </c>
      <c r="B20" s="30">
        <v>45717.0</v>
      </c>
      <c r="C20" s="31">
        <v>666573.2</v>
      </c>
      <c r="D20" s="31">
        <v>699709.7662992</v>
      </c>
      <c r="E20" s="31">
        <v>-33136.56629920006</v>
      </c>
    </row>
    <row r="21">
      <c r="A21" s="29" t="s">
        <v>23</v>
      </c>
      <c r="B21" s="30">
        <v>45748.0</v>
      </c>
      <c r="C21" s="31">
        <v>591619.95</v>
      </c>
      <c r="D21" s="31">
        <v>616223.1861888</v>
      </c>
      <c r="E21" s="31">
        <v>-24603.236188800074</v>
      </c>
    </row>
    <row r="22">
      <c r="A22" s="29" t="s">
        <v>25</v>
      </c>
      <c r="B22" s="30">
        <v>45658.0</v>
      </c>
      <c r="C22" s="31">
        <v>415721.82</v>
      </c>
      <c r="D22" s="31">
        <v>512627.4220848001</v>
      </c>
      <c r="E22" s="31">
        <v>-96905.60208480008</v>
      </c>
    </row>
    <row r="23">
      <c r="A23" s="29" t="s">
        <v>25</v>
      </c>
      <c r="B23" s="30">
        <v>45689.0</v>
      </c>
      <c r="C23" s="31">
        <v>491905.13</v>
      </c>
      <c r="D23" s="31">
        <v>503065.25120080006</v>
      </c>
      <c r="E23" s="31">
        <v>-11160.121200800058</v>
      </c>
    </row>
    <row r="24">
      <c r="A24" s="29" t="s">
        <v>25</v>
      </c>
      <c r="B24" s="30">
        <v>45717.0</v>
      </c>
      <c r="C24" s="31">
        <v>555929.4</v>
      </c>
      <c r="D24" s="31">
        <v>537220.8995992001</v>
      </c>
      <c r="E24" s="31">
        <v>18708.50040079991</v>
      </c>
    </row>
    <row r="25">
      <c r="A25" s="29" t="s">
        <v>25</v>
      </c>
      <c r="B25" s="30">
        <v>45748.0</v>
      </c>
      <c r="C25" s="31">
        <v>565810.99</v>
      </c>
      <c r="D25" s="31">
        <v>563727.5021488001</v>
      </c>
      <c r="E25" s="31">
        <v>2083.487851199927</v>
      </c>
    </row>
    <row r="26">
      <c r="A26" s="29" t="s">
        <v>26</v>
      </c>
      <c r="B26" s="30">
        <v>45658.0</v>
      </c>
      <c r="C26" s="31">
        <v>811771.14</v>
      </c>
      <c r="D26" s="31">
        <v>830659.4268104001</v>
      </c>
      <c r="E26" s="31">
        <v>-18888.28681040008</v>
      </c>
    </row>
    <row r="27">
      <c r="A27" s="29" t="s">
        <v>26</v>
      </c>
      <c r="B27" s="30">
        <v>45689.0</v>
      </c>
      <c r="C27" s="31">
        <v>800451.94</v>
      </c>
      <c r="D27" s="31">
        <v>898777.1747032001</v>
      </c>
      <c r="E27" s="31">
        <v>-98325.23470320017</v>
      </c>
    </row>
    <row r="28">
      <c r="A28" s="29" t="s">
        <v>26</v>
      </c>
      <c r="B28" s="30">
        <v>45717.0</v>
      </c>
      <c r="C28" s="31">
        <v>783672.82</v>
      </c>
      <c r="D28" s="31">
        <v>789027.7195032</v>
      </c>
      <c r="E28" s="31">
        <v>-5354.899503200082</v>
      </c>
    </row>
    <row r="29">
      <c r="A29" s="29" t="s">
        <v>26</v>
      </c>
      <c r="B29" s="30">
        <v>45748.0</v>
      </c>
      <c r="C29" s="31">
        <v>701641.97</v>
      </c>
      <c r="D29" s="31">
        <v>693448.648516</v>
      </c>
      <c r="E29" s="31">
        <v>8193.321483999956</v>
      </c>
    </row>
    <row r="30">
      <c r="A30" s="29" t="s">
        <v>29</v>
      </c>
      <c r="B30" s="30">
        <v>45658.0</v>
      </c>
      <c r="C30" s="31">
        <v>511844.41</v>
      </c>
      <c r="D30" s="31">
        <v>587497.8634192</v>
      </c>
      <c r="E30" s="31">
        <v>-75653.45341919997</v>
      </c>
    </row>
    <row r="31">
      <c r="A31" s="29" t="s">
        <v>29</v>
      </c>
      <c r="B31" s="30">
        <v>45689.0</v>
      </c>
      <c r="C31" s="31">
        <v>537383.79</v>
      </c>
      <c r="D31" s="31">
        <v>533990.7950568</v>
      </c>
      <c r="E31" s="31">
        <v>3392.9949432000285</v>
      </c>
    </row>
    <row r="32">
      <c r="A32" s="29" t="s">
        <v>29</v>
      </c>
      <c r="B32" s="30">
        <v>45717.0</v>
      </c>
      <c r="C32" s="31">
        <v>500173.02</v>
      </c>
      <c r="D32" s="31">
        <v>515419.78959279996</v>
      </c>
      <c r="E32" s="31">
        <v>-15246.769592799945</v>
      </c>
    </row>
    <row r="33">
      <c r="A33" s="29" t="s">
        <v>29</v>
      </c>
      <c r="B33" s="30">
        <v>45748.0</v>
      </c>
      <c r="C33" s="31">
        <v>427917.38</v>
      </c>
      <c r="D33" s="31">
        <v>500573.27521600004</v>
      </c>
      <c r="E33" s="31">
        <v>-72655.89521600003</v>
      </c>
    </row>
    <row r="34">
      <c r="A34" s="29" t="s">
        <v>30</v>
      </c>
      <c r="B34" s="30">
        <v>45658.0</v>
      </c>
      <c r="C34" s="31">
        <v>641865.03</v>
      </c>
      <c r="D34" s="31">
        <v>760910.6245328</v>
      </c>
      <c r="E34" s="31">
        <v>-119045.59453280002</v>
      </c>
    </row>
    <row r="35">
      <c r="A35" s="29" t="s">
        <v>30</v>
      </c>
      <c r="B35" s="30">
        <v>45689.0</v>
      </c>
      <c r="C35" s="31">
        <v>799477.76</v>
      </c>
      <c r="D35" s="31">
        <v>864340.9522656</v>
      </c>
      <c r="E35" s="31">
        <v>-64863.192265599966</v>
      </c>
    </row>
    <row r="36">
      <c r="A36" s="29" t="s">
        <v>30</v>
      </c>
      <c r="B36" s="30">
        <v>45717.0</v>
      </c>
      <c r="C36" s="31">
        <v>798952.17</v>
      </c>
      <c r="D36" s="31">
        <v>809892.0644008</v>
      </c>
      <c r="E36" s="31">
        <v>-10939.894400799996</v>
      </c>
    </row>
    <row r="37">
      <c r="A37" s="29" t="s">
        <v>30</v>
      </c>
      <c r="B37" s="30">
        <v>45748.0</v>
      </c>
      <c r="C37" s="31">
        <v>800979.78</v>
      </c>
      <c r="D37" s="31">
        <v>837326.1631232</v>
      </c>
      <c r="E37" s="31">
        <v>-36346.38312319992</v>
      </c>
    </row>
    <row r="38">
      <c r="A38" s="29" t="s">
        <v>31</v>
      </c>
      <c r="B38" s="30">
        <v>45658.0</v>
      </c>
      <c r="C38" s="31">
        <v>820593.93</v>
      </c>
      <c r="D38" s="31">
        <v>764852.2539992001</v>
      </c>
      <c r="E38" s="31">
        <v>55741.676000799984</v>
      </c>
    </row>
    <row r="39">
      <c r="A39" s="29" t="s">
        <v>31</v>
      </c>
      <c r="B39" s="30">
        <v>45689.0</v>
      </c>
      <c r="C39" s="31">
        <v>718330.53</v>
      </c>
      <c r="D39" s="31">
        <v>752737.2315256001</v>
      </c>
      <c r="E39" s="31">
        <v>-34406.701525600045</v>
      </c>
    </row>
    <row r="40">
      <c r="A40" s="29" t="s">
        <v>31</v>
      </c>
      <c r="B40" s="30">
        <v>45717.0</v>
      </c>
      <c r="C40" s="31">
        <v>736633.4</v>
      </c>
      <c r="D40" s="31">
        <v>742557.9903616001</v>
      </c>
      <c r="E40" s="31">
        <v>-5924.590361600043</v>
      </c>
    </row>
    <row r="41">
      <c r="A41" s="29" t="s">
        <v>31</v>
      </c>
      <c r="B41" s="30">
        <v>45748.0</v>
      </c>
      <c r="C41" s="31">
        <v>828623.85</v>
      </c>
      <c r="D41" s="31">
        <v>821258.3602904</v>
      </c>
      <c r="E41" s="31">
        <v>7365.489709599991</v>
      </c>
    </row>
    <row r="42">
      <c r="A42" s="29" t="s">
        <v>32</v>
      </c>
      <c r="B42" s="30">
        <v>45658.0</v>
      </c>
      <c r="C42" s="31">
        <v>592195.85</v>
      </c>
      <c r="D42" s="31">
        <v>571758.2769104</v>
      </c>
      <c r="E42" s="31">
        <v>20437.57308959996</v>
      </c>
    </row>
    <row r="43">
      <c r="A43" s="29" t="s">
        <v>32</v>
      </c>
      <c r="B43" s="30">
        <v>45689.0</v>
      </c>
      <c r="C43" s="31">
        <v>532644.46</v>
      </c>
      <c r="D43" s="31">
        <v>508010.8790008001</v>
      </c>
      <c r="E43" s="31">
        <v>24633.580999199883</v>
      </c>
    </row>
    <row r="44">
      <c r="A44" s="29" t="s">
        <v>32</v>
      </c>
      <c r="B44" s="30">
        <v>45717.0</v>
      </c>
      <c r="C44" s="31">
        <v>657429.18</v>
      </c>
      <c r="D44" s="31">
        <v>574627.1008464</v>
      </c>
      <c r="E44" s="31">
        <v>82802.07915360003</v>
      </c>
    </row>
    <row r="45">
      <c r="A45" s="29" t="s">
        <v>32</v>
      </c>
      <c r="B45" s="30">
        <v>45748.0</v>
      </c>
      <c r="C45" s="31">
        <v>605178.0</v>
      </c>
      <c r="D45" s="31">
        <v>579259.9661824</v>
      </c>
      <c r="E45" s="31">
        <v>25918.033817599993</v>
      </c>
    </row>
    <row r="46">
      <c r="A46" s="29" t="s">
        <v>33</v>
      </c>
      <c r="B46" s="30">
        <v>45658.0</v>
      </c>
      <c r="C46" s="31">
        <v>595467.6</v>
      </c>
      <c r="D46" s="31">
        <v>736522.6902416</v>
      </c>
      <c r="E46" s="31">
        <v>-141055.09024160006</v>
      </c>
    </row>
    <row r="47">
      <c r="A47" s="29" t="s">
        <v>33</v>
      </c>
      <c r="B47" s="30">
        <v>45689.0</v>
      </c>
      <c r="C47" s="31">
        <v>599603.4</v>
      </c>
      <c r="D47" s="31">
        <v>653402.9278936</v>
      </c>
      <c r="E47" s="31">
        <v>-53799.52789359994</v>
      </c>
    </row>
    <row r="48">
      <c r="A48" s="29" t="s">
        <v>33</v>
      </c>
      <c r="B48" s="30">
        <v>45717.0</v>
      </c>
      <c r="C48" s="31">
        <v>614800.09</v>
      </c>
      <c r="D48" s="31">
        <v>593371.453884</v>
      </c>
      <c r="E48" s="31">
        <v>21428.63611600001</v>
      </c>
    </row>
    <row r="49">
      <c r="A49" s="29" t="s">
        <v>33</v>
      </c>
      <c r="B49" s="30">
        <v>45748.0</v>
      </c>
      <c r="C49" s="31">
        <v>585365.73</v>
      </c>
      <c r="D49" s="31">
        <v>584913.2302544</v>
      </c>
      <c r="E49" s="31">
        <v>452.4997455999255</v>
      </c>
    </row>
    <row r="50">
      <c r="A50" s="29" t="s">
        <v>34</v>
      </c>
      <c r="B50" s="30">
        <v>45658.0</v>
      </c>
      <c r="C50" s="31">
        <v>622811.74</v>
      </c>
      <c r="D50" s="31">
        <v>644432.9531480001</v>
      </c>
      <c r="E50" s="31">
        <v>-21621.213148000068</v>
      </c>
    </row>
    <row r="51">
      <c r="A51" s="29" t="s">
        <v>34</v>
      </c>
      <c r="B51" s="30">
        <v>45689.0</v>
      </c>
      <c r="C51" s="31">
        <v>603297.57</v>
      </c>
      <c r="D51" s="31">
        <v>589387.4810864001</v>
      </c>
      <c r="E51" s="31">
        <v>13910.088913599844</v>
      </c>
    </row>
    <row r="52">
      <c r="A52" s="29" t="s">
        <v>34</v>
      </c>
      <c r="B52" s="30">
        <v>45717.0</v>
      </c>
      <c r="C52" s="31">
        <v>625672.86</v>
      </c>
      <c r="D52" s="31">
        <v>600338.7931560001</v>
      </c>
      <c r="E52" s="31">
        <v>25334.0668439999</v>
      </c>
    </row>
    <row r="53">
      <c r="A53" s="29" t="s">
        <v>34</v>
      </c>
      <c r="B53" s="30">
        <v>45748.0</v>
      </c>
      <c r="C53" s="31">
        <v>773815.14</v>
      </c>
      <c r="D53" s="31">
        <v>727066.9976384001</v>
      </c>
      <c r="E53" s="31">
        <v>46748.14236159995</v>
      </c>
    </row>
    <row r="54">
      <c r="A54" s="29" t="s">
        <v>35</v>
      </c>
      <c r="B54" s="30">
        <v>45658.0</v>
      </c>
      <c r="C54" s="31">
        <v>463534.25</v>
      </c>
      <c r="D54" s="31">
        <v>560517.2555336</v>
      </c>
      <c r="E54" s="31">
        <v>-96983.0055336</v>
      </c>
    </row>
    <row r="55">
      <c r="A55" s="29" t="s">
        <v>35</v>
      </c>
      <c r="B55" s="30">
        <v>45689.0</v>
      </c>
      <c r="C55" s="31">
        <v>746677.75</v>
      </c>
      <c r="D55" s="31">
        <v>716822.3772016</v>
      </c>
      <c r="E55" s="31">
        <v>29855.3727984</v>
      </c>
    </row>
    <row r="56">
      <c r="A56" s="29" t="s">
        <v>35</v>
      </c>
      <c r="B56" s="30">
        <v>45717.0</v>
      </c>
      <c r="C56" s="31">
        <v>720852.5</v>
      </c>
      <c r="D56" s="31">
        <v>680129.54828</v>
      </c>
      <c r="E56" s="31">
        <v>40722.95172000001</v>
      </c>
    </row>
    <row r="57">
      <c r="A57" s="29" t="s">
        <v>35</v>
      </c>
      <c r="B57" s="30">
        <v>45748.0</v>
      </c>
      <c r="C57" s="31">
        <v>487464.91</v>
      </c>
      <c r="D57" s="31">
        <v>530619.8224760001</v>
      </c>
      <c r="E57" s="31">
        <v>-43154.912476000085</v>
      </c>
    </row>
    <row r="58">
      <c r="A58" s="29" t="s">
        <v>36</v>
      </c>
      <c r="B58" s="30">
        <v>45658.0</v>
      </c>
      <c r="C58" s="31">
        <v>518049.26</v>
      </c>
      <c r="D58" s="31">
        <v>502188.7305696</v>
      </c>
      <c r="E58" s="31">
        <v>15860.529430399998</v>
      </c>
    </row>
    <row r="59">
      <c r="A59" s="29" t="s">
        <v>36</v>
      </c>
      <c r="B59" s="30">
        <v>45689.0</v>
      </c>
      <c r="C59" s="31">
        <v>500298.48</v>
      </c>
      <c r="D59" s="31">
        <v>501343.11888880003</v>
      </c>
      <c r="E59" s="31">
        <v>-1044.638888800051</v>
      </c>
    </row>
    <row r="60">
      <c r="A60" s="29" t="s">
        <v>36</v>
      </c>
      <c r="B60" s="30">
        <v>45717.0</v>
      </c>
      <c r="C60" s="31">
        <v>617291.15</v>
      </c>
      <c r="D60" s="31">
        <v>654242.8359567999</v>
      </c>
      <c r="E60" s="31">
        <v>-36951.68595679989</v>
      </c>
    </row>
    <row r="61">
      <c r="A61" s="29" t="s">
        <v>36</v>
      </c>
      <c r="B61" s="30">
        <v>45748.0</v>
      </c>
      <c r="C61" s="31">
        <v>553756.43</v>
      </c>
      <c r="D61" s="31">
        <v>592255.3951592</v>
      </c>
      <c r="E61" s="31">
        <v>-38498.9651591999</v>
      </c>
    </row>
    <row r="62">
      <c r="A62" s="29" t="s">
        <v>37</v>
      </c>
      <c r="B62" s="30">
        <v>45658.0</v>
      </c>
      <c r="C62" s="31">
        <v>749559.71</v>
      </c>
      <c r="D62" s="31">
        <v>691426.3865568</v>
      </c>
      <c r="E62" s="31">
        <v>58133.32344319997</v>
      </c>
    </row>
    <row r="63">
      <c r="A63" s="29" t="s">
        <v>37</v>
      </c>
      <c r="B63" s="30">
        <v>45689.0</v>
      </c>
      <c r="C63" s="31">
        <v>615966.48</v>
      </c>
      <c r="D63" s="31">
        <v>574486.5443056001</v>
      </c>
      <c r="E63" s="31">
        <v>41479.93569439987</v>
      </c>
    </row>
    <row r="64">
      <c r="A64" s="29" t="s">
        <v>37</v>
      </c>
      <c r="B64" s="30">
        <v>45717.0</v>
      </c>
      <c r="C64" s="31">
        <v>572011.2</v>
      </c>
      <c r="D64" s="31">
        <v>593364.9067504</v>
      </c>
      <c r="E64" s="31">
        <v>-21353.706750400015</v>
      </c>
    </row>
    <row r="65">
      <c r="A65" s="29" t="s">
        <v>37</v>
      </c>
      <c r="B65" s="30">
        <v>45748.0</v>
      </c>
      <c r="C65" s="31">
        <v>761860.19</v>
      </c>
      <c r="D65" s="31">
        <v>723300.7521352001</v>
      </c>
      <c r="E65" s="31">
        <v>38559.43786479987</v>
      </c>
    </row>
    <row r="66">
      <c r="A66" s="29" t="s">
        <v>38</v>
      </c>
      <c r="B66" s="30">
        <v>45658.0</v>
      </c>
      <c r="C66" s="31">
        <v>784502.68</v>
      </c>
      <c r="D66" s="31">
        <v>810823.5996096001</v>
      </c>
      <c r="E66" s="31">
        <v>-26320.919609600096</v>
      </c>
    </row>
    <row r="67">
      <c r="A67" s="29" t="s">
        <v>38</v>
      </c>
      <c r="B67" s="30">
        <v>45689.0</v>
      </c>
      <c r="C67" s="31">
        <v>717141.55</v>
      </c>
      <c r="D67" s="31">
        <v>741517.4441304</v>
      </c>
      <c r="E67" s="31">
        <v>-24375.894130399916</v>
      </c>
    </row>
    <row r="68">
      <c r="A68" s="29" t="s">
        <v>38</v>
      </c>
      <c r="B68" s="30">
        <v>45717.0</v>
      </c>
      <c r="C68" s="31">
        <v>685379.08</v>
      </c>
      <c r="D68" s="31">
        <v>848193.791976</v>
      </c>
      <c r="E68" s="31">
        <v>-162814.711976</v>
      </c>
    </row>
    <row r="69">
      <c r="A69" s="29" t="s">
        <v>38</v>
      </c>
      <c r="B69" s="30">
        <v>45748.0</v>
      </c>
      <c r="C69" s="31">
        <v>740496.65</v>
      </c>
      <c r="D69" s="31">
        <v>738516.813344</v>
      </c>
      <c r="E69" s="31">
        <v>1979.8366559999995</v>
      </c>
    </row>
    <row r="70">
      <c r="A70" s="29" t="s">
        <v>39</v>
      </c>
      <c r="B70" s="30">
        <v>45658.0</v>
      </c>
      <c r="C70" s="31">
        <v>661927.14</v>
      </c>
      <c r="D70" s="31">
        <v>587950.4460984</v>
      </c>
      <c r="E70" s="31">
        <v>73976.69390159997</v>
      </c>
    </row>
    <row r="71">
      <c r="A71" s="29" t="s">
        <v>39</v>
      </c>
      <c r="B71" s="30">
        <v>45689.0</v>
      </c>
      <c r="C71" s="31">
        <v>479050.5</v>
      </c>
      <c r="D71" s="31">
        <v>501693.39685200003</v>
      </c>
      <c r="E71" s="31">
        <v>-22642.896852000034</v>
      </c>
    </row>
    <row r="72">
      <c r="A72" s="29" t="s">
        <v>39</v>
      </c>
      <c r="B72" s="30">
        <v>45717.0</v>
      </c>
      <c r="C72" s="31">
        <v>605023.87</v>
      </c>
      <c r="D72" s="31">
        <v>590503.6745111999</v>
      </c>
      <c r="E72" s="31">
        <v>14520.195488800062</v>
      </c>
    </row>
    <row r="73">
      <c r="A73" s="29" t="s">
        <v>39</v>
      </c>
      <c r="B73" s="30">
        <v>45748.0</v>
      </c>
      <c r="C73" s="31">
        <v>674774.09</v>
      </c>
      <c r="D73" s="31">
        <v>630614.0112456001</v>
      </c>
      <c r="E73" s="31">
        <v>44160.0787543999</v>
      </c>
    </row>
    <row r="74">
      <c r="A74" s="29" t="s">
        <v>40</v>
      </c>
      <c r="B74" s="30">
        <v>45658.0</v>
      </c>
      <c r="C74" s="31">
        <v>616069.41</v>
      </c>
      <c r="D74" s="31">
        <v>608819.1247936</v>
      </c>
      <c r="E74" s="31">
        <v>7250.285206399974</v>
      </c>
    </row>
    <row r="75">
      <c r="A75" s="29" t="s">
        <v>40</v>
      </c>
      <c r="B75" s="30">
        <v>45689.0</v>
      </c>
      <c r="C75" s="31">
        <v>630829.94</v>
      </c>
      <c r="D75" s="31">
        <v>692895.3396871999</v>
      </c>
      <c r="E75" s="31">
        <v>-62065.39968719997</v>
      </c>
    </row>
    <row r="76">
      <c r="A76" s="29" t="s">
        <v>40</v>
      </c>
      <c r="B76" s="30">
        <v>45717.0</v>
      </c>
      <c r="C76" s="31">
        <v>788087.68</v>
      </c>
      <c r="D76" s="31">
        <v>707591.7292447999</v>
      </c>
      <c r="E76" s="31">
        <v>80495.95075520012</v>
      </c>
    </row>
    <row r="77">
      <c r="A77" s="29" t="s">
        <v>40</v>
      </c>
      <c r="B77" s="30">
        <v>45748.0</v>
      </c>
      <c r="C77" s="31">
        <v>680840.36</v>
      </c>
      <c r="D77" s="31">
        <v>720783.3851208</v>
      </c>
      <c r="E77" s="31">
        <v>-39943.02512080001</v>
      </c>
    </row>
    <row r="78">
      <c r="A78" s="29" t="s">
        <v>41</v>
      </c>
      <c r="B78" s="30">
        <v>45658.0</v>
      </c>
      <c r="C78" s="31">
        <v>643657.47</v>
      </c>
      <c r="D78" s="31">
        <v>665632.1861888</v>
      </c>
      <c r="E78" s="31">
        <v>-21974.716188800056</v>
      </c>
    </row>
    <row r="79">
      <c r="A79" s="29" t="s">
        <v>41</v>
      </c>
      <c r="B79" s="30">
        <v>45689.0</v>
      </c>
      <c r="C79" s="31">
        <v>691112.6</v>
      </c>
      <c r="D79" s="31">
        <v>661133.4891712001</v>
      </c>
      <c r="E79" s="31">
        <v>29979.110828799894</v>
      </c>
    </row>
    <row r="80">
      <c r="A80" s="29" t="s">
        <v>41</v>
      </c>
      <c r="B80" s="30">
        <v>45717.0</v>
      </c>
      <c r="C80" s="31">
        <v>776922.17</v>
      </c>
      <c r="D80" s="31">
        <v>737322.2577096</v>
      </c>
      <c r="E80" s="31">
        <v>39599.91229040001</v>
      </c>
    </row>
    <row r="81">
      <c r="A81" s="29" t="s">
        <v>41</v>
      </c>
      <c r="B81" s="30">
        <v>45748.0</v>
      </c>
      <c r="C81" s="31">
        <v>636561.34</v>
      </c>
      <c r="D81" s="31">
        <v>677418.176384</v>
      </c>
      <c r="E81" s="31">
        <v>-40856.836384000024</v>
      </c>
    </row>
    <row r="82">
      <c r="A82" s="29" t="s">
        <v>42</v>
      </c>
      <c r="B82" s="30">
        <v>45658.0</v>
      </c>
      <c r="C82" s="31">
        <v>621369.58</v>
      </c>
      <c r="D82" s="31">
        <v>640889.3358216</v>
      </c>
      <c r="E82" s="31">
        <v>-19519.75582160009</v>
      </c>
    </row>
    <row r="83">
      <c r="A83" s="29" t="s">
        <v>42</v>
      </c>
      <c r="B83" s="30">
        <v>45689.0</v>
      </c>
      <c r="C83" s="31">
        <v>682208.01</v>
      </c>
      <c r="D83" s="31">
        <v>624174.7587208</v>
      </c>
      <c r="E83" s="31">
        <v>58033.25127919996</v>
      </c>
    </row>
    <row r="84">
      <c r="A84" s="29" t="s">
        <v>42</v>
      </c>
      <c r="B84" s="30">
        <v>45717.0</v>
      </c>
      <c r="C84" s="31">
        <v>727241.86</v>
      </c>
      <c r="D84" s="31">
        <v>638021.6030224</v>
      </c>
      <c r="E84" s="31">
        <v>89220.25697759993</v>
      </c>
    </row>
    <row r="85">
      <c r="A85" s="29" t="s">
        <v>42</v>
      </c>
      <c r="B85" s="30">
        <v>45748.0</v>
      </c>
      <c r="C85" s="31">
        <v>569100.78</v>
      </c>
      <c r="D85" s="31">
        <v>548408.4296736</v>
      </c>
      <c r="E85" s="31">
        <v>20692.350326400017</v>
      </c>
    </row>
    <row r="86">
      <c r="A86" s="29" t="s">
        <v>43</v>
      </c>
      <c r="B86" s="30">
        <v>45658.0</v>
      </c>
      <c r="C86" s="31">
        <v>574436.29</v>
      </c>
      <c r="D86" s="31">
        <v>560064.5840576</v>
      </c>
      <c r="E86" s="31">
        <v>14371.705942400033</v>
      </c>
    </row>
    <row r="87">
      <c r="A87" s="29" t="s">
        <v>43</v>
      </c>
      <c r="B87" s="30">
        <v>45689.0</v>
      </c>
      <c r="C87" s="31">
        <v>611766.72</v>
      </c>
      <c r="D87" s="31">
        <v>648511.5202232001</v>
      </c>
      <c r="E87" s="31">
        <v>-36744.800223200116</v>
      </c>
    </row>
    <row r="88">
      <c r="A88" s="29" t="s">
        <v>43</v>
      </c>
      <c r="B88" s="30">
        <v>45717.0</v>
      </c>
      <c r="C88" s="31">
        <v>614596.32</v>
      </c>
      <c r="D88" s="31">
        <v>619501.9843656</v>
      </c>
      <c r="E88" s="31">
        <v>-4905.664365600096</v>
      </c>
    </row>
    <row r="89">
      <c r="A89" s="29" t="s">
        <v>43</v>
      </c>
      <c r="B89" s="30">
        <v>45748.0</v>
      </c>
      <c r="C89" s="31">
        <v>450711.92</v>
      </c>
      <c r="D89" s="31">
        <v>457706.6169312</v>
      </c>
      <c r="E89" s="31">
        <v>-6994.696931200044</v>
      </c>
    </row>
    <row r="90">
      <c r="A90" s="29" t="s">
        <v>44</v>
      </c>
      <c r="B90" s="30">
        <v>45658.0</v>
      </c>
      <c r="C90" s="31">
        <v>711213.46</v>
      </c>
      <c r="D90" s="31">
        <v>674462.0317104</v>
      </c>
      <c r="E90" s="31">
        <v>36751.42828959995</v>
      </c>
    </row>
    <row r="91">
      <c r="A91" s="29" t="s">
        <v>44</v>
      </c>
      <c r="B91" s="30">
        <v>45689.0</v>
      </c>
      <c r="C91" s="31">
        <v>627171.9</v>
      </c>
      <c r="D91" s="31">
        <v>749410.9303864</v>
      </c>
      <c r="E91" s="31">
        <v>-122239.03038639994</v>
      </c>
    </row>
    <row r="92">
      <c r="A92" s="29" t="s">
        <v>44</v>
      </c>
      <c r="B92" s="30">
        <v>45717.0</v>
      </c>
      <c r="C92" s="31">
        <v>739852.58</v>
      </c>
      <c r="D92" s="31">
        <v>712364.7259304001</v>
      </c>
      <c r="E92" s="31">
        <v>27487.85406959988</v>
      </c>
    </row>
    <row r="93">
      <c r="A93" s="29" t="s">
        <v>44</v>
      </c>
      <c r="B93" s="30">
        <v>45748.0</v>
      </c>
      <c r="C93" s="31">
        <v>586307.22</v>
      </c>
      <c r="D93" s="31">
        <v>554517.8325616</v>
      </c>
      <c r="E93" s="31">
        <v>31789.38743839995</v>
      </c>
    </row>
    <row r="94">
      <c r="A94" s="29" t="s">
        <v>45</v>
      </c>
      <c r="B94" s="30">
        <v>45658.0</v>
      </c>
      <c r="C94" s="31">
        <v>585937.48</v>
      </c>
      <c r="D94" s="31">
        <v>604671.7868944</v>
      </c>
      <c r="E94" s="31">
        <v>-18734.30689440004</v>
      </c>
    </row>
    <row r="95">
      <c r="A95" s="29" t="s">
        <v>45</v>
      </c>
      <c r="B95" s="30">
        <v>45689.0</v>
      </c>
      <c r="C95" s="31">
        <v>753473.55</v>
      </c>
      <c r="D95" s="31">
        <v>704530.632588</v>
      </c>
      <c r="E95" s="31">
        <v>48942.91741200001</v>
      </c>
    </row>
    <row r="96">
      <c r="A96" s="29" t="s">
        <v>45</v>
      </c>
      <c r="B96" s="30">
        <v>45717.0</v>
      </c>
      <c r="C96" s="31">
        <v>838250.32</v>
      </c>
      <c r="D96" s="31">
        <v>778736.9261808001</v>
      </c>
      <c r="E96" s="31">
        <v>59513.393819199875</v>
      </c>
    </row>
    <row r="97">
      <c r="A97" s="29" t="s">
        <v>45</v>
      </c>
      <c r="B97" s="30">
        <v>45748.0</v>
      </c>
      <c r="C97" s="31">
        <v>607898.12</v>
      </c>
      <c r="D97" s="31">
        <v>630640.378944</v>
      </c>
      <c r="E97" s="31">
        <v>-22742.258944</v>
      </c>
    </row>
    <row r="98">
      <c r="A98" s="29" t="s">
        <v>46</v>
      </c>
      <c r="B98" s="30">
        <v>45658.0</v>
      </c>
      <c r="C98" s="31">
        <v>691113.62</v>
      </c>
      <c r="D98" s="31">
        <v>694520.1371512</v>
      </c>
      <c r="E98" s="31">
        <v>-3406.5171511999797</v>
      </c>
    </row>
    <row r="99">
      <c r="A99" s="29" t="s">
        <v>46</v>
      </c>
      <c r="B99" s="30">
        <v>45689.0</v>
      </c>
      <c r="C99" s="31">
        <v>735509.4</v>
      </c>
      <c r="D99" s="31">
        <v>658739.9098424</v>
      </c>
      <c r="E99" s="31">
        <v>76769.49015760003</v>
      </c>
    </row>
    <row r="100">
      <c r="A100" s="29" t="s">
        <v>46</v>
      </c>
      <c r="B100" s="30">
        <v>45717.0</v>
      </c>
      <c r="C100" s="31">
        <v>605775.33</v>
      </c>
      <c r="D100" s="31">
        <v>607347.785248</v>
      </c>
      <c r="E100" s="31">
        <v>-1572.4552479999838</v>
      </c>
    </row>
    <row r="101">
      <c r="A101" s="29" t="s">
        <v>46</v>
      </c>
      <c r="B101" s="30">
        <v>45748.0</v>
      </c>
      <c r="C101" s="31">
        <v>675177.68</v>
      </c>
      <c r="D101" s="31">
        <v>649673.027276</v>
      </c>
      <c r="E101" s="31">
        <v>25504.652724000043</v>
      </c>
    </row>
    <row r="102">
      <c r="A102" s="29" t="s">
        <v>47</v>
      </c>
      <c r="B102" s="30">
        <v>45658.0</v>
      </c>
      <c r="C102" s="31">
        <v>635181.35</v>
      </c>
      <c r="D102" s="31">
        <v>575411.4739216</v>
      </c>
      <c r="E102" s="31">
        <v>59769.876078399946</v>
      </c>
    </row>
    <row r="103">
      <c r="A103" s="29" t="s">
        <v>47</v>
      </c>
      <c r="B103" s="30">
        <v>45689.0</v>
      </c>
      <c r="C103" s="31">
        <v>586626.94</v>
      </c>
      <c r="D103" s="31">
        <v>609231.3684944</v>
      </c>
      <c r="E103" s="31">
        <v>-22604.428494400112</v>
      </c>
    </row>
    <row r="104">
      <c r="A104" s="29" t="s">
        <v>47</v>
      </c>
      <c r="B104" s="30">
        <v>45717.0</v>
      </c>
      <c r="C104" s="31">
        <v>740102.64</v>
      </c>
      <c r="D104" s="31">
        <v>696616.029904</v>
      </c>
      <c r="E104" s="31">
        <v>43486.61009600002</v>
      </c>
    </row>
    <row r="105">
      <c r="A105" s="29" t="s">
        <v>47</v>
      </c>
      <c r="B105" s="30">
        <v>45748.0</v>
      </c>
      <c r="C105" s="31">
        <v>625514.04</v>
      </c>
      <c r="D105" s="31">
        <v>511102.4467024</v>
      </c>
      <c r="E105" s="31">
        <v>114411.59329760005</v>
      </c>
    </row>
    <row r="106">
      <c r="A106" s="29" t="s">
        <v>48</v>
      </c>
      <c r="B106" s="30">
        <v>45658.0</v>
      </c>
      <c r="C106" s="31">
        <v>727227.2</v>
      </c>
      <c r="D106" s="31">
        <v>699380.8790712</v>
      </c>
      <c r="E106" s="31">
        <v>27846.32092879992</v>
      </c>
    </row>
    <row r="107">
      <c r="A107" s="29" t="s">
        <v>48</v>
      </c>
      <c r="B107" s="30">
        <v>45689.0</v>
      </c>
      <c r="C107" s="31">
        <v>783797.89</v>
      </c>
      <c r="D107" s="31">
        <v>792260.785296</v>
      </c>
      <c r="E107" s="31">
        <v>-8462.895295999944</v>
      </c>
    </row>
    <row r="108">
      <c r="A108" s="29" t="s">
        <v>48</v>
      </c>
      <c r="B108" s="30">
        <v>45717.0</v>
      </c>
      <c r="C108" s="31">
        <v>795153.84</v>
      </c>
      <c r="D108" s="31">
        <v>727259.1798568</v>
      </c>
      <c r="E108" s="31">
        <v>67894.66014319996</v>
      </c>
    </row>
    <row r="109">
      <c r="A109" s="29" t="s">
        <v>48</v>
      </c>
      <c r="B109" s="30">
        <v>45748.0</v>
      </c>
      <c r="C109" s="31">
        <v>665594.94</v>
      </c>
      <c r="D109" s="31">
        <v>671703.0298048</v>
      </c>
      <c r="E109" s="31">
        <v>-6108.089804800111</v>
      </c>
    </row>
    <row r="110">
      <c r="A110" s="29" t="s">
        <v>49</v>
      </c>
      <c r="B110" s="30">
        <v>45658.0</v>
      </c>
      <c r="C110" s="31">
        <v>709478.39</v>
      </c>
      <c r="D110" s="31">
        <v>664999.6476232</v>
      </c>
      <c r="E110" s="31">
        <v>44478.742376800044</v>
      </c>
    </row>
    <row r="111">
      <c r="A111" s="29" t="s">
        <v>49</v>
      </c>
      <c r="B111" s="30">
        <v>45689.0</v>
      </c>
      <c r="C111" s="31">
        <v>664162.49</v>
      </c>
      <c r="D111" s="31">
        <v>643656.136572</v>
      </c>
      <c r="E111" s="31">
        <v>20506.353428000002</v>
      </c>
    </row>
    <row r="112">
      <c r="A112" s="29" t="s">
        <v>49</v>
      </c>
      <c r="B112" s="30">
        <v>45717.0</v>
      </c>
      <c r="C112" s="31">
        <v>633494.21</v>
      </c>
      <c r="D112" s="31">
        <v>638001.223884</v>
      </c>
      <c r="E112" s="31">
        <v>-4507.0138840000145</v>
      </c>
    </row>
    <row r="113">
      <c r="A113" s="29" t="s">
        <v>49</v>
      </c>
      <c r="B113" s="30">
        <v>45748.0</v>
      </c>
      <c r="C113" s="31">
        <v>713611.16</v>
      </c>
      <c r="D113" s="31">
        <v>590127.1166416</v>
      </c>
      <c r="E113" s="31">
        <v>123484.0433584</v>
      </c>
    </row>
    <row r="114">
      <c r="A114" s="29" t="s">
        <v>50</v>
      </c>
      <c r="B114" s="30">
        <v>45658.0</v>
      </c>
      <c r="C114" s="31">
        <v>778397.97</v>
      </c>
      <c r="D114" s="31">
        <v>740829.5026064</v>
      </c>
      <c r="E114" s="31">
        <v>37568.467393599916</v>
      </c>
    </row>
    <row r="115">
      <c r="A115" s="29" t="s">
        <v>50</v>
      </c>
      <c r="B115" s="30">
        <v>45689.0</v>
      </c>
      <c r="C115" s="31">
        <v>873380.02</v>
      </c>
      <c r="D115" s="31">
        <v>831226.1699544</v>
      </c>
      <c r="E115" s="31">
        <v>42153.850045599975</v>
      </c>
    </row>
    <row r="116">
      <c r="A116" s="29" t="s">
        <v>50</v>
      </c>
      <c r="B116" s="30">
        <v>45717.0</v>
      </c>
      <c r="C116" s="31">
        <v>697287.9</v>
      </c>
      <c r="D116" s="31">
        <v>750417.8948088</v>
      </c>
      <c r="E116" s="31">
        <v>-53129.99480879994</v>
      </c>
    </row>
    <row r="117">
      <c r="A117" s="29" t="s">
        <v>50</v>
      </c>
      <c r="B117" s="30">
        <v>45748.0</v>
      </c>
      <c r="C117" s="31">
        <v>718074.79</v>
      </c>
      <c r="D117" s="31">
        <v>753752.6374264</v>
      </c>
      <c r="E117" s="31">
        <v>-35677.84742639994</v>
      </c>
    </row>
    <row r="118">
      <c r="A118" s="29" t="s">
        <v>51</v>
      </c>
      <c r="B118" s="30">
        <v>45658.0</v>
      </c>
      <c r="C118" s="31">
        <v>714942.43</v>
      </c>
      <c r="D118" s="31">
        <v>722152.7821624001</v>
      </c>
      <c r="E118" s="31">
        <v>-7210.352162400028</v>
      </c>
    </row>
    <row r="119">
      <c r="A119" s="29" t="s">
        <v>51</v>
      </c>
      <c r="B119" s="30">
        <v>45689.0</v>
      </c>
      <c r="C119" s="31">
        <v>820519.04</v>
      </c>
      <c r="D119" s="31">
        <v>739688.7784616001</v>
      </c>
      <c r="E119" s="31">
        <v>80830.26153839997</v>
      </c>
    </row>
    <row r="120">
      <c r="A120" s="29" t="s">
        <v>51</v>
      </c>
      <c r="B120" s="30">
        <v>45717.0</v>
      </c>
      <c r="C120" s="31">
        <v>684217.32</v>
      </c>
      <c r="D120" s="31">
        <v>760393.3658952</v>
      </c>
      <c r="E120" s="31">
        <v>-76176.0458952001</v>
      </c>
    </row>
    <row r="121">
      <c r="A121" s="29" t="s">
        <v>51</v>
      </c>
      <c r="B121" s="30">
        <v>45748.0</v>
      </c>
      <c r="C121" s="31">
        <v>735480.19</v>
      </c>
      <c r="D121" s="31">
        <v>748612.8653168001</v>
      </c>
      <c r="E121" s="31">
        <v>-13132.67531680013</v>
      </c>
    </row>
    <row r="122">
      <c r="A122" s="29" t="s">
        <v>52</v>
      </c>
      <c r="B122" s="30">
        <v>45658.0</v>
      </c>
      <c r="C122" s="31">
        <v>509484.81</v>
      </c>
      <c r="D122" s="31">
        <v>558531.6680608001</v>
      </c>
      <c r="E122" s="31">
        <v>-49046.85806080006</v>
      </c>
    </row>
    <row r="123">
      <c r="A123" s="29" t="s">
        <v>52</v>
      </c>
      <c r="B123" s="30">
        <v>45689.0</v>
      </c>
      <c r="C123" s="31">
        <v>654317.09</v>
      </c>
      <c r="D123" s="31">
        <v>617618.4456872001</v>
      </c>
      <c r="E123" s="31">
        <v>36698.64431279991</v>
      </c>
    </row>
    <row r="124">
      <c r="A124" s="29" t="s">
        <v>52</v>
      </c>
      <c r="B124" s="30">
        <v>45717.0</v>
      </c>
      <c r="C124" s="31">
        <v>557487.26</v>
      </c>
      <c r="D124" s="31">
        <v>590782.1090608</v>
      </c>
      <c r="E124" s="31">
        <v>-33294.84906080004</v>
      </c>
    </row>
    <row r="125">
      <c r="A125" s="29" t="s">
        <v>52</v>
      </c>
      <c r="B125" s="30">
        <v>45748.0</v>
      </c>
      <c r="C125" s="31">
        <v>441275.42</v>
      </c>
      <c r="D125" s="31">
        <v>504845.6804368</v>
      </c>
      <c r="E125" s="31">
        <v>-63570.26043680002</v>
      </c>
    </row>
    <row r="126">
      <c r="A126" s="29" t="s">
        <v>53</v>
      </c>
      <c r="B126" s="30">
        <v>45658.0</v>
      </c>
      <c r="C126" s="31">
        <v>914544.17</v>
      </c>
      <c r="D126" s="31">
        <v>826816.1436536001</v>
      </c>
      <c r="E126" s="31">
        <v>87728.02634639991</v>
      </c>
    </row>
    <row r="127">
      <c r="A127" s="29" t="s">
        <v>53</v>
      </c>
      <c r="B127" s="30">
        <v>45689.0</v>
      </c>
      <c r="C127" s="31">
        <v>842439.67</v>
      </c>
      <c r="D127" s="31">
        <v>858669.1595200001</v>
      </c>
      <c r="E127" s="31">
        <v>-16229.489520000061</v>
      </c>
    </row>
    <row r="128">
      <c r="A128" s="29" t="s">
        <v>53</v>
      </c>
      <c r="B128" s="30">
        <v>45717.0</v>
      </c>
      <c r="C128" s="31">
        <v>842157.92</v>
      </c>
      <c r="D128" s="31">
        <v>793301.2392640001</v>
      </c>
      <c r="E128" s="31">
        <v>48856.68073599995</v>
      </c>
    </row>
    <row r="129">
      <c r="A129" s="29" t="s">
        <v>53</v>
      </c>
      <c r="B129" s="30">
        <v>45748.0</v>
      </c>
      <c r="C129" s="31">
        <v>697155.3</v>
      </c>
      <c r="D129" s="31">
        <v>706430.1100600001</v>
      </c>
      <c r="E129" s="31">
        <v>-9274.810060000047</v>
      </c>
    </row>
    <row r="130">
      <c r="A130" s="29" t="s">
        <v>54</v>
      </c>
      <c r="B130" s="30">
        <v>45658.0</v>
      </c>
      <c r="C130" s="31">
        <v>849018.3</v>
      </c>
      <c r="D130" s="31">
        <v>818544.8396648</v>
      </c>
      <c r="E130" s="31">
        <v>30473.46033520007</v>
      </c>
    </row>
    <row r="131">
      <c r="A131" s="29" t="s">
        <v>54</v>
      </c>
      <c r="B131" s="30">
        <v>45689.0</v>
      </c>
      <c r="C131" s="31">
        <v>801830.35</v>
      </c>
      <c r="D131" s="31">
        <v>800353.9887288001</v>
      </c>
      <c r="E131" s="31">
        <v>1476.3612711998867</v>
      </c>
    </row>
    <row r="132">
      <c r="A132" s="29" t="s">
        <v>54</v>
      </c>
      <c r="B132" s="30">
        <v>45717.0</v>
      </c>
      <c r="C132" s="31">
        <v>725235.28</v>
      </c>
      <c r="D132" s="31">
        <v>781808.4923808</v>
      </c>
      <c r="E132" s="31">
        <v>-56573.21238079993</v>
      </c>
    </row>
    <row r="133">
      <c r="A133" s="29" t="s">
        <v>54</v>
      </c>
      <c r="B133" s="30">
        <v>45748.0</v>
      </c>
      <c r="C133" s="31">
        <v>811452.72</v>
      </c>
      <c r="D133" s="31">
        <v>816871.555728</v>
      </c>
      <c r="E133" s="31">
        <v>-5418.835728000035</v>
      </c>
    </row>
    <row r="134">
      <c r="A134" s="29" t="s">
        <v>55</v>
      </c>
      <c r="B134" s="30">
        <v>45658.0</v>
      </c>
      <c r="C134" s="31">
        <v>527300.13</v>
      </c>
      <c r="D134" s="31">
        <v>576199.4737848</v>
      </c>
      <c r="E134" s="31">
        <v>-48899.34378480003</v>
      </c>
    </row>
    <row r="135">
      <c r="A135" s="29" t="s">
        <v>55</v>
      </c>
      <c r="B135" s="30">
        <v>45689.0</v>
      </c>
      <c r="C135" s="31">
        <v>400831.65</v>
      </c>
      <c r="D135" s="31">
        <v>458236.18550240004</v>
      </c>
      <c r="E135" s="31">
        <v>-57404.53550240002</v>
      </c>
    </row>
    <row r="136">
      <c r="A136" s="29" t="s">
        <v>55</v>
      </c>
      <c r="B136" s="30">
        <v>45717.0</v>
      </c>
      <c r="C136" s="31">
        <v>593247.25</v>
      </c>
      <c r="D136" s="31">
        <v>596031.924372</v>
      </c>
      <c r="E136" s="31">
        <v>-2784.6743720000377</v>
      </c>
    </row>
    <row r="137">
      <c r="A137" s="29" t="s">
        <v>55</v>
      </c>
      <c r="B137" s="30">
        <v>45748.0</v>
      </c>
      <c r="C137" s="31">
        <v>529075.95</v>
      </c>
      <c r="D137" s="31">
        <v>545085.3295416001</v>
      </c>
      <c r="E137" s="31">
        <v>-16009.379541600123</v>
      </c>
    </row>
    <row r="138">
      <c r="A138" s="29" t="s">
        <v>56</v>
      </c>
      <c r="B138" s="30">
        <v>45658.0</v>
      </c>
      <c r="C138" s="31">
        <v>633638.03</v>
      </c>
      <c r="D138" s="31">
        <v>725298.1540656</v>
      </c>
      <c r="E138" s="31">
        <v>-91660.12406559999</v>
      </c>
    </row>
    <row r="139">
      <c r="A139" s="29" t="s">
        <v>56</v>
      </c>
      <c r="B139" s="30">
        <v>45689.0</v>
      </c>
      <c r="C139" s="31">
        <v>743348.84</v>
      </c>
      <c r="D139" s="31">
        <v>725405.0561672001</v>
      </c>
      <c r="E139" s="31">
        <v>17943.783832799876</v>
      </c>
    </row>
    <row r="140">
      <c r="A140" s="29" t="s">
        <v>56</v>
      </c>
      <c r="B140" s="30">
        <v>45717.0</v>
      </c>
      <c r="C140" s="31">
        <v>758827.64</v>
      </c>
      <c r="D140" s="31">
        <v>712051.69064</v>
      </c>
      <c r="E140" s="31">
        <v>46775.94935999997</v>
      </c>
    </row>
    <row r="141">
      <c r="A141" s="29" t="s">
        <v>56</v>
      </c>
      <c r="B141" s="30">
        <v>45748.0</v>
      </c>
      <c r="C141" s="31">
        <v>646559.71</v>
      </c>
      <c r="D141" s="31">
        <v>644619.509112</v>
      </c>
      <c r="E141" s="31">
        <v>1940.200887999963</v>
      </c>
    </row>
    <row r="142">
      <c r="A142" s="29" t="s">
        <v>57</v>
      </c>
      <c r="B142" s="30">
        <v>45658.0</v>
      </c>
      <c r="C142" s="31">
        <v>715890.53</v>
      </c>
      <c r="D142" s="31">
        <v>677930.1160096</v>
      </c>
      <c r="E142" s="31">
        <v>37960.41399040003</v>
      </c>
    </row>
    <row r="143">
      <c r="A143" s="29" t="s">
        <v>57</v>
      </c>
      <c r="B143" s="30">
        <v>45689.0</v>
      </c>
      <c r="C143" s="31">
        <v>715097.57</v>
      </c>
      <c r="D143" s="31">
        <v>695739.4021784</v>
      </c>
      <c r="E143" s="31">
        <v>19358.167821599985</v>
      </c>
    </row>
    <row r="144">
      <c r="A144" s="29" t="s">
        <v>57</v>
      </c>
      <c r="B144" s="30">
        <v>45717.0</v>
      </c>
      <c r="C144" s="31">
        <v>682639.28</v>
      </c>
      <c r="D144" s="31">
        <v>641828.593636</v>
      </c>
      <c r="E144" s="31">
        <v>40810.68636400008</v>
      </c>
    </row>
    <row r="145">
      <c r="A145" s="29" t="s">
        <v>57</v>
      </c>
      <c r="B145" s="30">
        <v>45748.0</v>
      </c>
      <c r="C145" s="31">
        <v>695098.51</v>
      </c>
      <c r="D145" s="31">
        <v>679675.6805192</v>
      </c>
      <c r="E145" s="31">
        <v>15422.829480799963</v>
      </c>
    </row>
    <row r="146">
      <c r="A146" s="29" t="s">
        <v>58</v>
      </c>
      <c r="B146" s="30">
        <v>45658.0</v>
      </c>
      <c r="C146" s="31">
        <v>577732.57</v>
      </c>
      <c r="D146" s="31">
        <v>625909.017312</v>
      </c>
      <c r="E146" s="31">
        <v>-48176.44731200009</v>
      </c>
    </row>
    <row r="147">
      <c r="A147" s="29" t="s">
        <v>58</v>
      </c>
      <c r="B147" s="30">
        <v>45689.0</v>
      </c>
      <c r="C147" s="31">
        <v>537058.33</v>
      </c>
      <c r="D147" s="31">
        <v>573263.4137032</v>
      </c>
      <c r="E147" s="31">
        <v>-36205.0837032001</v>
      </c>
    </row>
    <row r="148">
      <c r="A148" s="29" t="s">
        <v>58</v>
      </c>
      <c r="B148" s="30">
        <v>45717.0</v>
      </c>
      <c r="C148" s="31">
        <v>601568.87</v>
      </c>
      <c r="D148" s="31">
        <v>613650.7419720001</v>
      </c>
      <c r="E148" s="31">
        <v>-12081.87197200011</v>
      </c>
    </row>
    <row r="149">
      <c r="A149" s="29" t="s">
        <v>58</v>
      </c>
      <c r="B149" s="30">
        <v>45748.0</v>
      </c>
      <c r="C149" s="31">
        <v>570964.84</v>
      </c>
      <c r="D149" s="31">
        <v>579016.7149840001</v>
      </c>
      <c r="E149" s="31">
        <v>-8051.874984000111</v>
      </c>
    </row>
    <row r="150">
      <c r="A150" s="29" t="s">
        <v>59</v>
      </c>
      <c r="B150" s="30">
        <v>45658.0</v>
      </c>
      <c r="C150" s="31">
        <v>614024.91</v>
      </c>
      <c r="D150" s="31">
        <v>643393.8750888</v>
      </c>
      <c r="E150" s="31">
        <v>-29368.965088799945</v>
      </c>
    </row>
    <row r="151">
      <c r="A151" s="29" t="s">
        <v>59</v>
      </c>
      <c r="B151" s="30">
        <v>45689.0</v>
      </c>
      <c r="C151" s="31">
        <v>712868.35</v>
      </c>
      <c r="D151" s="31">
        <v>705703.1815304001</v>
      </c>
      <c r="E151" s="31">
        <v>7165.168469599914</v>
      </c>
    </row>
    <row r="152">
      <c r="A152" s="29" t="s">
        <v>59</v>
      </c>
      <c r="B152" s="30">
        <v>45717.0</v>
      </c>
      <c r="C152" s="31">
        <v>696744.15</v>
      </c>
      <c r="D152" s="31">
        <v>665006.600268</v>
      </c>
      <c r="E152" s="31">
        <v>31737.549731999985</v>
      </c>
    </row>
    <row r="153">
      <c r="A153" s="29" t="s">
        <v>59</v>
      </c>
      <c r="B153" s="30">
        <v>45748.0</v>
      </c>
      <c r="C153" s="31">
        <v>725847.99</v>
      </c>
      <c r="D153" s="31">
        <v>704630.8990544</v>
      </c>
      <c r="E153" s="31">
        <v>21217.09094559995</v>
      </c>
    </row>
    <row r="154">
      <c r="A154" s="29" t="s">
        <v>60</v>
      </c>
      <c r="B154" s="30">
        <v>45658.0</v>
      </c>
      <c r="C154" s="31">
        <v>785028.25</v>
      </c>
      <c r="D154" s="31">
        <v>795182.2090168</v>
      </c>
      <c r="E154" s="31">
        <v>-10153.959016800043</v>
      </c>
    </row>
    <row r="155">
      <c r="A155" s="29" t="s">
        <v>60</v>
      </c>
      <c r="B155" s="30">
        <v>45689.0</v>
      </c>
      <c r="C155" s="31">
        <v>698492.67</v>
      </c>
      <c r="D155" s="31">
        <v>681322.07346</v>
      </c>
      <c r="E155" s="31">
        <v>17170.596540000057</v>
      </c>
    </row>
    <row r="156">
      <c r="A156" s="29" t="s">
        <v>60</v>
      </c>
      <c r="B156" s="30">
        <v>45717.0</v>
      </c>
      <c r="C156" s="31">
        <v>685830.24</v>
      </c>
      <c r="D156" s="31">
        <v>721732.7961544</v>
      </c>
      <c r="E156" s="31">
        <v>-35902.556154399994</v>
      </c>
    </row>
    <row r="157">
      <c r="A157" s="29" t="s">
        <v>60</v>
      </c>
      <c r="B157" s="30">
        <v>45748.0</v>
      </c>
      <c r="C157" s="31">
        <v>702318.94</v>
      </c>
      <c r="D157" s="31">
        <v>696620.9682424</v>
      </c>
      <c r="E157" s="31">
        <v>5697.9717575999675</v>
      </c>
    </row>
    <row r="158">
      <c r="A158" s="29" t="s">
        <v>61</v>
      </c>
      <c r="B158" s="30">
        <v>45658.0</v>
      </c>
      <c r="C158" s="31">
        <v>700078.32</v>
      </c>
      <c r="D158" s="31">
        <v>702791.8889896</v>
      </c>
      <c r="E158" s="31">
        <v>-2713.568989600055</v>
      </c>
    </row>
    <row r="159">
      <c r="A159" s="29" t="s">
        <v>61</v>
      </c>
      <c r="B159" s="30">
        <v>45689.0</v>
      </c>
      <c r="C159" s="31">
        <v>602002.32</v>
      </c>
      <c r="D159" s="31">
        <v>632747.1089728</v>
      </c>
      <c r="E159" s="31">
        <v>-30744.788972800015</v>
      </c>
    </row>
    <row r="160">
      <c r="A160" s="29" t="s">
        <v>61</v>
      </c>
      <c r="B160" s="30">
        <v>45717.0</v>
      </c>
      <c r="C160" s="31">
        <v>724216.07</v>
      </c>
      <c r="D160" s="31">
        <v>656264.6481656</v>
      </c>
      <c r="E160" s="31">
        <v>67951.42183439992</v>
      </c>
    </row>
    <row r="161">
      <c r="A161" s="29" t="s">
        <v>61</v>
      </c>
      <c r="B161" s="30">
        <v>45748.0</v>
      </c>
      <c r="C161" s="31">
        <v>620973.03</v>
      </c>
      <c r="D161" s="31">
        <v>562025.0762512</v>
      </c>
      <c r="E161" s="31">
        <v>58947.95374879998</v>
      </c>
    </row>
    <row r="162">
      <c r="A162" s="29" t="s">
        <v>62</v>
      </c>
      <c r="B162" s="30">
        <v>45658.0</v>
      </c>
      <c r="C162" s="31">
        <v>650480.06</v>
      </c>
      <c r="D162" s="31">
        <v>709011.7207056001</v>
      </c>
      <c r="E162" s="31">
        <v>-58531.66070560005</v>
      </c>
    </row>
    <row r="163">
      <c r="A163" s="29" t="s">
        <v>62</v>
      </c>
      <c r="B163" s="30">
        <v>45689.0</v>
      </c>
      <c r="C163" s="31">
        <v>778298.88</v>
      </c>
      <c r="D163" s="31">
        <v>704165.514316</v>
      </c>
      <c r="E163" s="31">
        <v>74133.36568399996</v>
      </c>
    </row>
    <row r="164">
      <c r="A164" s="29" t="s">
        <v>62</v>
      </c>
      <c r="B164" s="30">
        <v>45717.0</v>
      </c>
      <c r="C164" s="31">
        <v>677096.71</v>
      </c>
      <c r="D164" s="31">
        <v>698062.0717280001</v>
      </c>
      <c r="E164" s="31">
        <v>-20965.361728000105</v>
      </c>
    </row>
    <row r="165">
      <c r="A165" s="29" t="s">
        <v>62</v>
      </c>
      <c r="B165" s="30">
        <v>45748.0</v>
      </c>
      <c r="C165" s="31">
        <v>692008.64</v>
      </c>
      <c r="D165" s="31">
        <v>702186.2561192</v>
      </c>
      <c r="E165" s="31">
        <v>-10177.616119200015</v>
      </c>
    </row>
    <row r="166">
      <c r="A166" s="29" t="s">
        <v>63</v>
      </c>
      <c r="B166" s="30">
        <v>45658.0</v>
      </c>
      <c r="C166" s="31">
        <v>825797.91</v>
      </c>
      <c r="D166" s="31">
        <v>777013.8541648001</v>
      </c>
      <c r="E166" s="31">
        <v>48784.05583519989</v>
      </c>
    </row>
    <row r="167">
      <c r="A167" s="29" t="s">
        <v>63</v>
      </c>
      <c r="B167" s="30">
        <v>45689.0</v>
      </c>
      <c r="C167" s="31">
        <v>706285.52</v>
      </c>
      <c r="D167" s="31">
        <v>724240.2888280001</v>
      </c>
      <c r="E167" s="31">
        <v>-17954.76882800006</v>
      </c>
    </row>
    <row r="168">
      <c r="A168" s="29" t="s">
        <v>63</v>
      </c>
      <c r="B168" s="30">
        <v>45717.0</v>
      </c>
      <c r="C168" s="31">
        <v>665534.7</v>
      </c>
      <c r="D168" s="31">
        <v>667490.6917576</v>
      </c>
      <c r="E168" s="31">
        <v>-1955.9917576001026</v>
      </c>
    </row>
    <row r="169">
      <c r="A169" s="29" t="s">
        <v>63</v>
      </c>
      <c r="B169" s="30">
        <v>45748.0</v>
      </c>
      <c r="C169" s="31">
        <v>820729.29</v>
      </c>
      <c r="D169" s="31">
        <v>806181.1331824001</v>
      </c>
      <c r="E169" s="31">
        <v>14548.156817599898</v>
      </c>
    </row>
    <row r="170">
      <c r="A170" s="29" t="s">
        <v>64</v>
      </c>
      <c r="B170" s="30">
        <v>45658.0</v>
      </c>
      <c r="C170" s="31">
        <v>739831.73</v>
      </c>
      <c r="D170" s="31">
        <v>768061.6059487999</v>
      </c>
      <c r="E170" s="31">
        <v>-28229.87594879989</v>
      </c>
    </row>
    <row r="171">
      <c r="A171" s="29" t="s">
        <v>64</v>
      </c>
      <c r="B171" s="30">
        <v>45689.0</v>
      </c>
      <c r="C171" s="31">
        <v>593637.14</v>
      </c>
      <c r="D171" s="31">
        <v>664050.2287968</v>
      </c>
      <c r="E171" s="31">
        <v>-70413.0887968</v>
      </c>
    </row>
    <row r="172">
      <c r="A172" s="29" t="s">
        <v>64</v>
      </c>
      <c r="B172" s="30">
        <v>45717.0</v>
      </c>
      <c r="C172" s="31">
        <v>769702.76</v>
      </c>
      <c r="D172" s="31">
        <v>733579.5113928</v>
      </c>
      <c r="E172" s="31">
        <v>36123.24860719999</v>
      </c>
    </row>
    <row r="173">
      <c r="A173" s="29" t="s">
        <v>64</v>
      </c>
      <c r="B173" s="30">
        <v>45748.0</v>
      </c>
      <c r="C173" s="31">
        <v>679731.57</v>
      </c>
      <c r="D173" s="31">
        <v>687804.8334016</v>
      </c>
      <c r="E173" s="31">
        <v>-8073.263401600067</v>
      </c>
    </row>
    <row r="174">
      <c r="A174" s="29" t="s">
        <v>65</v>
      </c>
      <c r="B174" s="30">
        <v>45658.0</v>
      </c>
      <c r="C174" s="31">
        <v>780344.18</v>
      </c>
      <c r="D174" s="31">
        <v>770966.4354864002</v>
      </c>
      <c r="E174" s="31">
        <v>9377.7445135999</v>
      </c>
    </row>
    <row r="175">
      <c r="A175" s="29" t="s">
        <v>65</v>
      </c>
      <c r="B175" s="30">
        <v>45689.0</v>
      </c>
      <c r="C175" s="31">
        <v>721364.11</v>
      </c>
      <c r="D175" s="31">
        <v>755164.8056368</v>
      </c>
      <c r="E175" s="31">
        <v>-33800.695636800025</v>
      </c>
    </row>
    <row r="176">
      <c r="A176" s="29" t="s">
        <v>65</v>
      </c>
      <c r="B176" s="30">
        <v>45717.0</v>
      </c>
      <c r="C176" s="31">
        <v>758138.29</v>
      </c>
      <c r="D176" s="31">
        <v>781445.795324</v>
      </c>
      <c r="E176" s="31">
        <v>-23307.50532399991</v>
      </c>
    </row>
    <row r="177">
      <c r="A177" s="29" t="s">
        <v>65</v>
      </c>
      <c r="B177" s="30">
        <v>45748.0</v>
      </c>
      <c r="C177" s="31">
        <v>804264.0</v>
      </c>
      <c r="D177" s="31">
        <v>823207.3948704001</v>
      </c>
      <c r="E177" s="31">
        <v>-18943.39487040008</v>
      </c>
    </row>
    <row r="178">
      <c r="A178" s="29" t="s">
        <v>66</v>
      </c>
      <c r="B178" s="30">
        <v>45658.0</v>
      </c>
      <c r="C178" s="31">
        <v>887537.75</v>
      </c>
      <c r="D178" s="31">
        <v>863567.5642944</v>
      </c>
      <c r="E178" s="31">
        <v>23970.185705599957</v>
      </c>
    </row>
    <row r="179">
      <c r="A179" s="29" t="s">
        <v>66</v>
      </c>
      <c r="B179" s="30">
        <v>45689.0</v>
      </c>
      <c r="C179" s="31">
        <v>783582.0</v>
      </c>
      <c r="D179" s="31">
        <v>708435.9603112</v>
      </c>
      <c r="E179" s="31">
        <v>75146.0396888</v>
      </c>
    </row>
    <row r="180">
      <c r="A180" s="29" t="s">
        <v>66</v>
      </c>
      <c r="B180" s="30">
        <v>45717.0</v>
      </c>
      <c r="C180" s="31">
        <v>781955.52</v>
      </c>
      <c r="D180" s="31">
        <v>741542.7253544</v>
      </c>
      <c r="E180" s="31">
        <v>40412.79464560002</v>
      </c>
    </row>
    <row r="181">
      <c r="A181" s="29" t="s">
        <v>66</v>
      </c>
      <c r="B181" s="30">
        <v>45748.0</v>
      </c>
      <c r="C181" s="31">
        <v>898031.04</v>
      </c>
      <c r="D181" s="31">
        <v>828972.6527095999</v>
      </c>
      <c r="E181" s="31">
        <v>69058.3872904001</v>
      </c>
    </row>
    <row r="182">
      <c r="A182" s="29" t="s">
        <v>67</v>
      </c>
      <c r="B182" s="30">
        <v>45658.0</v>
      </c>
      <c r="C182" s="31">
        <v>855341.28</v>
      </c>
      <c r="D182" s="31">
        <v>859944.7480376</v>
      </c>
      <c r="E182" s="31">
        <v>-4603.4680375999305</v>
      </c>
    </row>
    <row r="183">
      <c r="A183" s="29" t="s">
        <v>67</v>
      </c>
      <c r="B183" s="30">
        <v>45689.0</v>
      </c>
      <c r="C183" s="31">
        <v>751393.88</v>
      </c>
      <c r="D183" s="31">
        <v>760645.7414800001</v>
      </c>
      <c r="E183" s="31">
        <v>-9251.86148000008</v>
      </c>
    </row>
    <row r="184">
      <c r="A184" s="29" t="s">
        <v>67</v>
      </c>
      <c r="B184" s="30">
        <v>45717.0</v>
      </c>
      <c r="C184" s="31">
        <v>761077.08</v>
      </c>
      <c r="D184" s="31">
        <v>772486.8964168</v>
      </c>
      <c r="E184" s="31">
        <v>-11409.816416800022</v>
      </c>
    </row>
    <row r="185">
      <c r="A185" s="29" t="s">
        <v>67</v>
      </c>
      <c r="B185" s="30">
        <v>45748.0</v>
      </c>
      <c r="C185" s="31">
        <v>819660.59</v>
      </c>
      <c r="D185" s="31">
        <v>835425.7680007999</v>
      </c>
      <c r="E185" s="31">
        <v>-15765.178000799962</v>
      </c>
    </row>
    <row r="186">
      <c r="A186" s="29" t="s">
        <v>68</v>
      </c>
      <c r="B186" s="30">
        <v>45658.0</v>
      </c>
      <c r="C186" s="31">
        <v>681855.56</v>
      </c>
      <c r="D186" s="31">
        <v>697507.7239792</v>
      </c>
      <c r="E186" s="31">
        <v>-15652.163979199948</v>
      </c>
    </row>
    <row r="187">
      <c r="A187" s="29" t="s">
        <v>68</v>
      </c>
      <c r="B187" s="30">
        <v>45689.0</v>
      </c>
      <c r="C187" s="31">
        <v>678311.17</v>
      </c>
      <c r="D187" s="31">
        <v>656855.5973408001</v>
      </c>
      <c r="E187" s="31">
        <v>21455.57265919994</v>
      </c>
    </row>
    <row r="188">
      <c r="A188" s="29" t="s">
        <v>68</v>
      </c>
      <c r="B188" s="30">
        <v>45717.0</v>
      </c>
      <c r="C188" s="31">
        <v>765906.95</v>
      </c>
      <c r="D188" s="31">
        <v>698712.9327184</v>
      </c>
      <c r="E188" s="31">
        <v>67194.01728159992</v>
      </c>
    </row>
    <row r="189">
      <c r="A189" s="29" t="s">
        <v>68</v>
      </c>
      <c r="B189" s="30">
        <v>45748.0</v>
      </c>
      <c r="C189" s="31">
        <v>712546.38</v>
      </c>
      <c r="D189" s="31">
        <v>708113.2583680002</v>
      </c>
      <c r="E189" s="31">
        <v>4433.121631999849</v>
      </c>
    </row>
    <row r="190">
      <c r="A190" s="29" t="s">
        <v>69</v>
      </c>
      <c r="B190" s="30">
        <v>45658.0</v>
      </c>
      <c r="C190" s="31">
        <v>625993.83</v>
      </c>
      <c r="D190" s="31">
        <v>578726.967104</v>
      </c>
      <c r="E190" s="31">
        <v>47266.86289599992</v>
      </c>
    </row>
    <row r="191">
      <c r="A191" s="29" t="s">
        <v>69</v>
      </c>
      <c r="B191" s="30">
        <v>45689.0</v>
      </c>
      <c r="C191" s="31">
        <v>550962.93</v>
      </c>
      <c r="D191" s="31">
        <v>533294.4196376</v>
      </c>
      <c r="E191" s="31">
        <v>17668.51036240009</v>
      </c>
    </row>
    <row r="192">
      <c r="A192" s="29" t="s">
        <v>69</v>
      </c>
      <c r="B192" s="30">
        <v>45717.0</v>
      </c>
      <c r="C192" s="31">
        <v>443275.59</v>
      </c>
      <c r="D192" s="31">
        <v>456198.6066208</v>
      </c>
      <c r="E192" s="31">
        <v>-12923.016620799957</v>
      </c>
    </row>
    <row r="193">
      <c r="A193" s="29" t="s">
        <v>69</v>
      </c>
      <c r="B193" s="30">
        <v>45748.0</v>
      </c>
      <c r="C193" s="31">
        <v>554012.07</v>
      </c>
      <c r="D193" s="31">
        <v>596484.0595688</v>
      </c>
      <c r="E193" s="31">
        <v>-42471.98956880008</v>
      </c>
    </row>
    <row r="194">
      <c r="A194" s="29" t="s">
        <v>70</v>
      </c>
      <c r="B194" s="30">
        <v>45658.0</v>
      </c>
      <c r="C194" s="31">
        <v>643428.85</v>
      </c>
      <c r="D194" s="31">
        <v>702946.6636184</v>
      </c>
      <c r="E194" s="31">
        <v>-59517.81361840002</v>
      </c>
    </row>
    <row r="195">
      <c r="A195" s="29" t="s">
        <v>70</v>
      </c>
      <c r="B195" s="30">
        <v>45689.0</v>
      </c>
      <c r="C195" s="31">
        <v>611924.27</v>
      </c>
      <c r="D195" s="31">
        <v>633485.0243288</v>
      </c>
      <c r="E195" s="31">
        <v>-21560.754328800016</v>
      </c>
    </row>
    <row r="196">
      <c r="A196" s="29" t="s">
        <v>70</v>
      </c>
      <c r="B196" s="30">
        <v>45717.0</v>
      </c>
      <c r="C196" s="31">
        <v>559422.02</v>
      </c>
      <c r="D196" s="31">
        <v>568890.3062088001</v>
      </c>
      <c r="E196" s="31">
        <v>-9468.28620880004</v>
      </c>
    </row>
    <row r="197">
      <c r="A197" s="29" t="s">
        <v>70</v>
      </c>
      <c r="B197" s="30">
        <v>45748.0</v>
      </c>
      <c r="C197" s="31">
        <v>449465.06</v>
      </c>
      <c r="D197" s="31">
        <v>545268.1757624</v>
      </c>
      <c r="E197" s="31">
        <v>-95803.11576240003</v>
      </c>
    </row>
    <row r="198">
      <c r="A198" s="29" t="s">
        <v>71</v>
      </c>
      <c r="B198" s="30">
        <v>45658.0</v>
      </c>
      <c r="C198" s="31">
        <v>691447.43</v>
      </c>
      <c r="D198" s="31">
        <v>648119.358932</v>
      </c>
      <c r="E198" s="31">
        <v>43328.07106800005</v>
      </c>
    </row>
    <row r="199">
      <c r="A199" s="29" t="s">
        <v>71</v>
      </c>
      <c r="B199" s="30">
        <v>45689.0</v>
      </c>
      <c r="C199" s="31">
        <v>574066.61</v>
      </c>
      <c r="D199" s="31">
        <v>609310.7538328</v>
      </c>
      <c r="E199" s="31">
        <v>-35244.14383279998</v>
      </c>
    </row>
    <row r="200">
      <c r="A200" s="29" t="s">
        <v>71</v>
      </c>
      <c r="B200" s="30">
        <v>45717.0</v>
      </c>
      <c r="C200" s="31">
        <v>578949.84</v>
      </c>
      <c r="D200" s="31">
        <v>618790.5500728</v>
      </c>
      <c r="E200" s="31">
        <v>-39840.71007280005</v>
      </c>
    </row>
    <row r="201">
      <c r="A201" s="29" t="s">
        <v>71</v>
      </c>
      <c r="B201" s="30">
        <v>45748.0</v>
      </c>
      <c r="C201" s="31">
        <v>735786.64</v>
      </c>
      <c r="D201" s="31">
        <v>657329.004988</v>
      </c>
      <c r="E201" s="31">
        <v>78457.63501199998</v>
      </c>
    </row>
    <row r="202">
      <c r="A202" s="29" t="s">
        <v>72</v>
      </c>
      <c r="B202" s="30">
        <v>45658.0</v>
      </c>
      <c r="C202" s="31">
        <v>598904.9</v>
      </c>
      <c r="D202" s="31">
        <v>596954.1985488</v>
      </c>
      <c r="E202" s="31">
        <v>1950.7014512000605</v>
      </c>
    </row>
    <row r="203">
      <c r="A203" s="29" t="s">
        <v>72</v>
      </c>
      <c r="B203" s="30">
        <v>45689.0</v>
      </c>
      <c r="C203" s="31">
        <v>787715.51</v>
      </c>
      <c r="D203" s="31">
        <v>676993.4248352001</v>
      </c>
      <c r="E203" s="31">
        <v>110722.08516479994</v>
      </c>
    </row>
    <row r="204">
      <c r="A204" s="29" t="s">
        <v>72</v>
      </c>
      <c r="B204" s="30">
        <v>45717.0</v>
      </c>
      <c r="C204" s="31">
        <v>607084.92</v>
      </c>
      <c r="D204" s="31">
        <v>634531.0612968</v>
      </c>
      <c r="E204" s="31">
        <v>-27446.141296799993</v>
      </c>
    </row>
    <row r="205">
      <c r="A205" s="29" t="s">
        <v>72</v>
      </c>
      <c r="B205" s="30">
        <v>45748.0</v>
      </c>
      <c r="C205" s="31">
        <v>650795.49</v>
      </c>
      <c r="D205" s="31">
        <v>661238.7762648</v>
      </c>
      <c r="E205" s="31">
        <v>-10443.286264800001</v>
      </c>
    </row>
    <row r="206">
      <c r="A206" s="29" t="s">
        <v>73</v>
      </c>
      <c r="B206" s="30">
        <v>45658.0</v>
      </c>
      <c r="C206" s="31">
        <v>825060.52</v>
      </c>
      <c r="D206" s="31">
        <v>827427.6884624</v>
      </c>
      <c r="E206" s="31">
        <v>-2367.1684623999754</v>
      </c>
    </row>
    <row r="207">
      <c r="A207" s="29" t="s">
        <v>73</v>
      </c>
      <c r="B207" s="30">
        <v>45689.0</v>
      </c>
      <c r="C207" s="31">
        <v>795464.47</v>
      </c>
      <c r="D207" s="31">
        <v>727819.6854592</v>
      </c>
      <c r="E207" s="31">
        <v>67644.78454080003</v>
      </c>
    </row>
    <row r="208">
      <c r="A208" s="29" t="s">
        <v>73</v>
      </c>
      <c r="B208" s="30">
        <v>45717.0</v>
      </c>
      <c r="C208" s="31">
        <v>671868.59</v>
      </c>
      <c r="D208" s="31">
        <v>725431.455936</v>
      </c>
      <c r="E208" s="31">
        <v>-53562.86593600002</v>
      </c>
    </row>
    <row r="209">
      <c r="A209" s="29" t="s">
        <v>73</v>
      </c>
      <c r="B209" s="30">
        <v>45748.0</v>
      </c>
      <c r="C209" s="31">
        <v>675917.63</v>
      </c>
      <c r="D209" s="31">
        <v>743411.8160928</v>
      </c>
      <c r="E209" s="31">
        <v>-67494.1860928</v>
      </c>
    </row>
    <row r="210">
      <c r="A210" s="29" t="s">
        <v>74</v>
      </c>
      <c r="B210" s="30">
        <v>45658.0</v>
      </c>
      <c r="C210" s="31">
        <v>810446.53</v>
      </c>
      <c r="D210" s="31">
        <v>794871.8029904</v>
      </c>
      <c r="E210" s="31">
        <v>15574.727009600028</v>
      </c>
    </row>
    <row r="211">
      <c r="A211" s="29" t="s">
        <v>74</v>
      </c>
      <c r="B211" s="30">
        <v>45689.0</v>
      </c>
      <c r="C211" s="31">
        <v>691288.19</v>
      </c>
      <c r="D211" s="31">
        <v>765762.915152</v>
      </c>
      <c r="E211" s="31">
        <v>-74474.72515200009</v>
      </c>
    </row>
    <row r="212">
      <c r="A212" s="29" t="s">
        <v>74</v>
      </c>
      <c r="B212" s="30">
        <v>45717.0</v>
      </c>
      <c r="C212" s="31">
        <v>946833.54</v>
      </c>
      <c r="D212" s="31">
        <v>953879.8615704001</v>
      </c>
      <c r="E212" s="31">
        <v>-7046.321570400032</v>
      </c>
    </row>
    <row r="213">
      <c r="A213" s="29" t="s">
        <v>74</v>
      </c>
      <c r="B213" s="30">
        <v>45748.0</v>
      </c>
      <c r="C213" s="31">
        <v>761963.23</v>
      </c>
      <c r="D213" s="31">
        <v>765572.34242</v>
      </c>
      <c r="E213" s="31">
        <v>-3609.1124200000195</v>
      </c>
    </row>
    <row r="214">
      <c r="A214" s="29" t="s">
        <v>75</v>
      </c>
      <c r="B214" s="30">
        <v>45658.0</v>
      </c>
      <c r="C214" s="31">
        <v>812152.6</v>
      </c>
      <c r="D214" s="31">
        <v>784063.5680536001</v>
      </c>
      <c r="E214" s="31">
        <v>28089.03194639983</v>
      </c>
    </row>
    <row r="215">
      <c r="A215" s="29" t="s">
        <v>75</v>
      </c>
      <c r="B215" s="30">
        <v>45689.0</v>
      </c>
      <c r="C215" s="31">
        <v>804975.5</v>
      </c>
      <c r="D215" s="31">
        <v>773821.3768120001</v>
      </c>
      <c r="E215" s="31">
        <v>31154.12318799994</v>
      </c>
    </row>
    <row r="216">
      <c r="A216" s="29" t="s">
        <v>75</v>
      </c>
      <c r="B216" s="30">
        <v>45717.0</v>
      </c>
      <c r="C216" s="31">
        <v>752321.72</v>
      </c>
      <c r="D216" s="31">
        <v>765486.9498864</v>
      </c>
      <c r="E216" s="31">
        <v>-13165.229886400048</v>
      </c>
    </row>
    <row r="217">
      <c r="A217" s="29" t="s">
        <v>75</v>
      </c>
      <c r="B217" s="30">
        <v>45748.0</v>
      </c>
      <c r="C217" s="31">
        <v>836908.24</v>
      </c>
      <c r="D217" s="31">
        <v>834469.3233144</v>
      </c>
      <c r="E217" s="31">
        <v>2438.91668559995</v>
      </c>
    </row>
    <row r="218">
      <c r="A218" s="29" t="s">
        <v>76</v>
      </c>
      <c r="B218" s="30">
        <v>45658.0</v>
      </c>
      <c r="C218" s="31">
        <v>674289.1</v>
      </c>
      <c r="D218" s="31">
        <v>640429.4923264001</v>
      </c>
      <c r="E218" s="31">
        <v>33859.60767359985</v>
      </c>
    </row>
    <row r="219">
      <c r="A219" s="29" t="s">
        <v>76</v>
      </c>
      <c r="B219" s="30">
        <v>45689.0</v>
      </c>
      <c r="C219" s="31">
        <v>622892.42</v>
      </c>
      <c r="D219" s="31">
        <v>617941.5563528</v>
      </c>
      <c r="E219" s="31">
        <v>4950.863647200051</v>
      </c>
    </row>
    <row r="220">
      <c r="A220" s="29" t="s">
        <v>76</v>
      </c>
      <c r="B220" s="30">
        <v>45717.0</v>
      </c>
      <c r="C220" s="31">
        <v>673348.56</v>
      </c>
      <c r="D220" s="31">
        <v>618685.8885328001</v>
      </c>
      <c r="E220" s="31">
        <v>54662.67146719992</v>
      </c>
    </row>
    <row r="221">
      <c r="A221" s="29" t="s">
        <v>76</v>
      </c>
      <c r="B221" s="30">
        <v>45748.0</v>
      </c>
      <c r="C221" s="31">
        <v>606278.3</v>
      </c>
      <c r="D221" s="31">
        <v>590271.4553960001</v>
      </c>
      <c r="E221" s="31">
        <v>16006.844603999984</v>
      </c>
    </row>
    <row r="222">
      <c r="A222" s="29" t="s">
        <v>77</v>
      </c>
      <c r="B222" s="30">
        <v>45658.0</v>
      </c>
      <c r="C222" s="31">
        <v>712219.81</v>
      </c>
      <c r="D222" s="31">
        <v>697071.5161168</v>
      </c>
      <c r="E222" s="31">
        <v>15148.293883200036</v>
      </c>
    </row>
    <row r="223">
      <c r="A223" s="29" t="s">
        <v>77</v>
      </c>
      <c r="B223" s="30">
        <v>45689.0</v>
      </c>
      <c r="C223" s="31">
        <v>672670.54</v>
      </c>
      <c r="D223" s="31">
        <v>668725.7261824</v>
      </c>
      <c r="E223" s="31">
        <v>3944.813817600021</v>
      </c>
    </row>
    <row r="224">
      <c r="A224" s="29" t="s">
        <v>77</v>
      </c>
      <c r="B224" s="30">
        <v>45717.0</v>
      </c>
      <c r="C224" s="31">
        <v>732667.92</v>
      </c>
      <c r="D224" s="31">
        <v>732581.1256784</v>
      </c>
      <c r="E224" s="31">
        <v>86.79432159999851</v>
      </c>
    </row>
    <row r="225">
      <c r="A225" s="29" t="s">
        <v>77</v>
      </c>
      <c r="B225" s="30">
        <v>45748.0</v>
      </c>
      <c r="C225" s="31">
        <v>723531.4</v>
      </c>
      <c r="D225" s="31">
        <v>753718.2871984</v>
      </c>
      <c r="E225" s="31">
        <v>-30186.887198399985</v>
      </c>
    </row>
    <row r="226">
      <c r="A226" s="29" t="s">
        <v>78</v>
      </c>
      <c r="B226" s="30">
        <v>45658.0</v>
      </c>
      <c r="C226" s="31">
        <v>641564.6</v>
      </c>
      <c r="D226" s="31">
        <v>604827.0624064</v>
      </c>
      <c r="E226" s="31">
        <v>36737.53759359999</v>
      </c>
    </row>
    <row r="227">
      <c r="A227" s="29" t="s">
        <v>78</v>
      </c>
      <c r="B227" s="30">
        <v>45689.0</v>
      </c>
      <c r="C227" s="31">
        <v>536545.49</v>
      </c>
      <c r="D227" s="31">
        <v>519695.2714368</v>
      </c>
      <c r="E227" s="31">
        <v>16850.218563199975</v>
      </c>
    </row>
    <row r="228">
      <c r="A228" s="29" t="s">
        <v>78</v>
      </c>
      <c r="B228" s="30">
        <v>45717.0</v>
      </c>
      <c r="C228" s="31">
        <v>527681.56</v>
      </c>
      <c r="D228" s="31">
        <v>548049.7388431999</v>
      </c>
      <c r="E228" s="31">
        <v>-20368.178843199858</v>
      </c>
    </row>
    <row r="229">
      <c r="A229" s="29" t="s">
        <v>78</v>
      </c>
      <c r="B229" s="30">
        <v>45748.0</v>
      </c>
      <c r="C229" s="31">
        <v>529598.94</v>
      </c>
      <c r="D229" s="31">
        <v>492479.441832</v>
      </c>
      <c r="E229" s="31">
        <v>37119.49816799996</v>
      </c>
    </row>
    <row r="230">
      <c r="A230" s="29" t="s">
        <v>79</v>
      </c>
      <c r="B230" s="30">
        <v>45658.0</v>
      </c>
      <c r="C230" s="31">
        <v>570963.31</v>
      </c>
      <c r="D230" s="31">
        <v>619618.4711568</v>
      </c>
      <c r="E230" s="31">
        <v>-48655.16115679999</v>
      </c>
    </row>
    <row r="231">
      <c r="A231" s="29" t="s">
        <v>79</v>
      </c>
      <c r="B231" s="30">
        <v>45689.0</v>
      </c>
      <c r="C231" s="31">
        <v>870937.4</v>
      </c>
      <c r="D231" s="31">
        <v>812835.44626</v>
      </c>
      <c r="E231" s="31">
        <v>58101.953740000026</v>
      </c>
    </row>
    <row r="232">
      <c r="A232" s="29" t="s">
        <v>79</v>
      </c>
      <c r="B232" s="30">
        <v>45717.0</v>
      </c>
      <c r="C232" s="31">
        <v>596969.27</v>
      </c>
      <c r="D232" s="31">
        <v>630381.9570320001</v>
      </c>
      <c r="E232" s="31">
        <v>-33412.687032000045</v>
      </c>
    </row>
    <row r="233">
      <c r="A233" s="29" t="s">
        <v>79</v>
      </c>
      <c r="B233" s="30">
        <v>45748.0</v>
      </c>
      <c r="C233" s="31">
        <v>647512.85</v>
      </c>
      <c r="D233" s="31">
        <v>615808.8462728</v>
      </c>
      <c r="E233" s="31">
        <v>31704.003727199975</v>
      </c>
    </row>
    <row r="234">
      <c r="A234" s="29" t="s">
        <v>80</v>
      </c>
      <c r="B234" s="30">
        <v>45658.0</v>
      </c>
      <c r="C234" s="31">
        <v>658072.14</v>
      </c>
      <c r="D234" s="31">
        <v>618026.2958272</v>
      </c>
      <c r="E234" s="31">
        <v>40045.84417279996</v>
      </c>
    </row>
    <row r="235">
      <c r="A235" s="29" t="s">
        <v>80</v>
      </c>
      <c r="B235" s="30">
        <v>45689.0</v>
      </c>
      <c r="C235" s="31">
        <v>723305.11</v>
      </c>
      <c r="D235" s="31">
        <v>653724.1235664</v>
      </c>
      <c r="E235" s="31">
        <v>69580.98643359996</v>
      </c>
    </row>
    <row r="236">
      <c r="A236" s="29" t="s">
        <v>80</v>
      </c>
      <c r="B236" s="30">
        <v>45717.0</v>
      </c>
      <c r="C236" s="31">
        <v>640666.53</v>
      </c>
      <c r="D236" s="31">
        <v>637635.7967936001</v>
      </c>
      <c r="E236" s="31">
        <v>3030.7332063999493</v>
      </c>
    </row>
    <row r="237">
      <c r="A237" s="29" t="s">
        <v>80</v>
      </c>
      <c r="B237" s="30">
        <v>45748.0</v>
      </c>
      <c r="C237" s="31">
        <v>670629.48</v>
      </c>
      <c r="D237" s="31">
        <v>674638.8756024</v>
      </c>
      <c r="E237" s="31">
        <v>-4009.3956024000654</v>
      </c>
    </row>
    <row r="238">
      <c r="A238" s="29" t="s">
        <v>81</v>
      </c>
      <c r="B238" s="30">
        <v>45658.0</v>
      </c>
      <c r="C238" s="31">
        <v>721079.35</v>
      </c>
      <c r="D238" s="31">
        <v>791656.657664</v>
      </c>
      <c r="E238" s="31">
        <v>-70577.30766400008</v>
      </c>
    </row>
    <row r="239">
      <c r="A239" s="29" t="s">
        <v>81</v>
      </c>
      <c r="B239" s="30">
        <v>45689.0</v>
      </c>
      <c r="C239" s="31">
        <v>810355.02</v>
      </c>
      <c r="D239" s="31">
        <v>825185.0486120001</v>
      </c>
      <c r="E239" s="31">
        <v>-14830.028612000053</v>
      </c>
    </row>
    <row r="240">
      <c r="A240" s="29" t="s">
        <v>81</v>
      </c>
      <c r="B240" s="30">
        <v>45717.0</v>
      </c>
      <c r="C240" s="31">
        <v>761919.25</v>
      </c>
      <c r="D240" s="31">
        <v>775630.1639080001</v>
      </c>
      <c r="E240" s="31">
        <v>-13710.913908000104</v>
      </c>
    </row>
    <row r="241">
      <c r="A241" s="29" t="s">
        <v>81</v>
      </c>
      <c r="B241" s="30">
        <v>45748.0</v>
      </c>
      <c r="C241" s="31">
        <v>737070.18</v>
      </c>
      <c r="D241" s="31">
        <v>731460.363296</v>
      </c>
      <c r="E241" s="31">
        <v>5609.816703999997</v>
      </c>
    </row>
    <row r="242">
      <c r="A242" s="29" t="s">
        <v>82</v>
      </c>
      <c r="B242" s="30">
        <v>45658.0</v>
      </c>
      <c r="C242" s="31">
        <v>776992.93</v>
      </c>
      <c r="D242" s="31">
        <v>750404.4718392001</v>
      </c>
      <c r="E242" s="31">
        <v>26588.458160799928</v>
      </c>
    </row>
    <row r="243">
      <c r="A243" s="29" t="s">
        <v>82</v>
      </c>
      <c r="B243" s="30">
        <v>45689.0</v>
      </c>
      <c r="C243" s="31">
        <v>676337.41</v>
      </c>
      <c r="D243" s="31">
        <v>647114.534656</v>
      </c>
      <c r="E243" s="31">
        <v>29222.87534400006</v>
      </c>
    </row>
    <row r="244">
      <c r="A244" s="29" t="s">
        <v>82</v>
      </c>
      <c r="B244" s="30">
        <v>45717.0</v>
      </c>
      <c r="C244" s="31">
        <v>828219.67</v>
      </c>
      <c r="D244" s="31">
        <v>817661.1789824001</v>
      </c>
      <c r="E244" s="31">
        <v>10558.49101759994</v>
      </c>
    </row>
    <row r="245">
      <c r="A245" s="29" t="s">
        <v>82</v>
      </c>
      <c r="B245" s="30">
        <v>45748.0</v>
      </c>
      <c r="C245" s="31">
        <v>763159.92</v>
      </c>
      <c r="D245" s="31">
        <v>756332.6486544</v>
      </c>
      <c r="E245" s="31">
        <v>6827.27134560002</v>
      </c>
    </row>
    <row r="246">
      <c r="A246" s="29" t="s">
        <v>83</v>
      </c>
      <c r="B246" s="30">
        <v>45658.0</v>
      </c>
      <c r="C246" s="31">
        <v>802001.68</v>
      </c>
      <c r="D246" s="31">
        <v>781804.5009520001</v>
      </c>
      <c r="E246" s="31">
        <v>20197.179047999904</v>
      </c>
    </row>
    <row r="247">
      <c r="A247" s="29" t="s">
        <v>83</v>
      </c>
      <c r="B247" s="30">
        <v>45689.0</v>
      </c>
      <c r="C247" s="31">
        <v>750471.34</v>
      </c>
      <c r="D247" s="31">
        <v>737639.4613048</v>
      </c>
      <c r="E247" s="31">
        <v>12831.878695199965</v>
      </c>
    </row>
    <row r="248">
      <c r="A248" s="29" t="s">
        <v>83</v>
      </c>
      <c r="B248" s="30">
        <v>45717.0</v>
      </c>
      <c r="C248" s="31">
        <v>679230.86</v>
      </c>
      <c r="D248" s="31">
        <v>708035.2348464</v>
      </c>
      <c r="E248" s="31">
        <v>-28804.374846399995</v>
      </c>
    </row>
    <row r="249">
      <c r="A249" s="29" t="s">
        <v>83</v>
      </c>
      <c r="B249" s="30">
        <v>45748.0</v>
      </c>
      <c r="C249" s="31">
        <v>679888.74</v>
      </c>
      <c r="D249" s="31">
        <v>686792.0507688001</v>
      </c>
      <c r="E249" s="31">
        <v>-6903.310768800089</v>
      </c>
    </row>
    <row r="250">
      <c r="A250" s="29" t="s">
        <v>84</v>
      </c>
      <c r="B250" s="30">
        <v>45658.0</v>
      </c>
      <c r="C250" s="31">
        <v>606783.67</v>
      </c>
      <c r="D250" s="31">
        <v>592667.7659072</v>
      </c>
      <c r="E250" s="31">
        <v>14115.904092799989</v>
      </c>
    </row>
    <row r="251">
      <c r="A251" s="29" t="s">
        <v>84</v>
      </c>
      <c r="B251" s="30">
        <v>45689.0</v>
      </c>
      <c r="C251" s="31">
        <v>642751.42</v>
      </c>
      <c r="D251" s="31">
        <v>654344.560008</v>
      </c>
      <c r="E251" s="31">
        <v>-11593.140007999958</v>
      </c>
    </row>
    <row r="252">
      <c r="A252" s="29" t="s">
        <v>84</v>
      </c>
      <c r="B252" s="30">
        <v>45717.0</v>
      </c>
      <c r="C252" s="31">
        <v>647953.78</v>
      </c>
      <c r="D252" s="31">
        <v>650801.2418888</v>
      </c>
      <c r="E252" s="31">
        <v>-2847.461888800026</v>
      </c>
    </row>
    <row r="253">
      <c r="A253" s="29" t="s">
        <v>84</v>
      </c>
      <c r="B253" s="30">
        <v>45748.0</v>
      </c>
      <c r="C253" s="31">
        <v>729440.45</v>
      </c>
      <c r="D253" s="31">
        <v>712542.3577904</v>
      </c>
      <c r="E253" s="31">
        <v>16898.092209599912</v>
      </c>
    </row>
    <row r="254">
      <c r="A254" s="29" t="s">
        <v>85</v>
      </c>
      <c r="B254" s="30">
        <v>45658.0</v>
      </c>
      <c r="C254" s="31">
        <v>764949.0</v>
      </c>
      <c r="D254" s="31">
        <v>759171.9860880001</v>
      </c>
      <c r="E254" s="31">
        <v>5777.0139119998785</v>
      </c>
    </row>
    <row r="255">
      <c r="A255" s="29" t="s">
        <v>85</v>
      </c>
      <c r="B255" s="30">
        <v>45689.0</v>
      </c>
      <c r="C255" s="31">
        <v>799046.94</v>
      </c>
      <c r="D255" s="31">
        <v>713294.8795976001</v>
      </c>
      <c r="E255" s="31">
        <v>85752.06040239986</v>
      </c>
    </row>
    <row r="256">
      <c r="A256" s="29" t="s">
        <v>85</v>
      </c>
      <c r="B256" s="30">
        <v>45717.0</v>
      </c>
      <c r="C256" s="31">
        <v>720079.54</v>
      </c>
      <c r="D256" s="31">
        <v>681671.1741784001</v>
      </c>
      <c r="E256" s="31">
        <v>38408.36582159996</v>
      </c>
    </row>
    <row r="257">
      <c r="A257" s="29" t="s">
        <v>85</v>
      </c>
      <c r="B257" s="30">
        <v>45748.0</v>
      </c>
      <c r="C257" s="31">
        <v>612390.14</v>
      </c>
      <c r="D257" s="31">
        <v>641337.1807928</v>
      </c>
      <c r="E257" s="31">
        <v>-28947.04079280002</v>
      </c>
    </row>
    <row r="258">
      <c r="A258" s="29" t="s">
        <v>86</v>
      </c>
      <c r="B258" s="30">
        <v>45658.0</v>
      </c>
      <c r="C258" s="31">
        <v>840108.12</v>
      </c>
      <c r="D258" s="31">
        <v>754840.5599928001</v>
      </c>
      <c r="E258" s="31">
        <v>85267.56000719988</v>
      </c>
    </row>
    <row r="259">
      <c r="A259" s="29" t="s">
        <v>86</v>
      </c>
      <c r="B259" s="30">
        <v>45689.0</v>
      </c>
      <c r="C259" s="31">
        <v>697888.09</v>
      </c>
      <c r="D259" s="31">
        <v>677037.2442488001</v>
      </c>
      <c r="E259" s="31">
        <v>20850.84575119987</v>
      </c>
    </row>
    <row r="260">
      <c r="A260" s="29" t="s">
        <v>86</v>
      </c>
      <c r="B260" s="30">
        <v>45717.0</v>
      </c>
      <c r="C260" s="31">
        <v>746115.59</v>
      </c>
      <c r="D260" s="31">
        <v>744870.4285344001</v>
      </c>
      <c r="E260" s="31">
        <v>1245.1614655999</v>
      </c>
    </row>
    <row r="261">
      <c r="A261" s="29" t="s">
        <v>86</v>
      </c>
      <c r="B261" s="30">
        <v>45748.0</v>
      </c>
      <c r="C261" s="31">
        <v>776110.32</v>
      </c>
      <c r="D261" s="31">
        <v>724220.2681712001</v>
      </c>
      <c r="E261" s="31">
        <v>51890.051828799886</v>
      </c>
    </row>
    <row r="262">
      <c r="A262" s="29" t="s">
        <v>87</v>
      </c>
      <c r="B262" s="30">
        <v>45658.0</v>
      </c>
      <c r="C262" s="31">
        <v>528852.62</v>
      </c>
      <c r="D262" s="31">
        <v>523906.1854192</v>
      </c>
      <c r="E262" s="31">
        <v>4946.434580800007</v>
      </c>
    </row>
    <row r="263">
      <c r="A263" s="29" t="s">
        <v>87</v>
      </c>
      <c r="B263" s="30">
        <v>45689.0</v>
      </c>
      <c r="C263" s="31">
        <v>605751.33</v>
      </c>
      <c r="D263" s="31">
        <v>608368.624812</v>
      </c>
      <c r="E263" s="31">
        <v>-2617.2948120000074</v>
      </c>
    </row>
    <row r="264">
      <c r="A264" s="29" t="s">
        <v>87</v>
      </c>
      <c r="B264" s="30">
        <v>45717.0</v>
      </c>
      <c r="C264" s="31">
        <v>677640.65</v>
      </c>
      <c r="D264" s="31">
        <v>611935.5033880001</v>
      </c>
      <c r="E264" s="31">
        <v>65705.14661199995</v>
      </c>
    </row>
    <row r="265">
      <c r="A265" s="29" t="s">
        <v>87</v>
      </c>
      <c r="B265" s="30">
        <v>45748.0</v>
      </c>
      <c r="C265" s="31">
        <v>636613.23</v>
      </c>
      <c r="D265" s="31">
        <v>619180.6734816</v>
      </c>
      <c r="E265" s="31">
        <v>17432.55651839997</v>
      </c>
    </row>
    <row r="266">
      <c r="A266" s="29" t="s">
        <v>88</v>
      </c>
      <c r="B266" s="30">
        <v>45658.0</v>
      </c>
      <c r="C266" s="31">
        <v>708985.19</v>
      </c>
      <c r="D266" s="31">
        <v>719502.4423656</v>
      </c>
      <c r="E266" s="31">
        <v>-10517.252365600085</v>
      </c>
    </row>
    <row r="267">
      <c r="A267" s="29" t="s">
        <v>88</v>
      </c>
      <c r="B267" s="30">
        <v>45689.0</v>
      </c>
      <c r="C267" s="31">
        <v>767792.94</v>
      </c>
      <c r="D267" s="31">
        <v>734060.1816664</v>
      </c>
      <c r="E267" s="31">
        <v>33732.75833359989</v>
      </c>
    </row>
    <row r="268">
      <c r="A268" s="29" t="s">
        <v>88</v>
      </c>
      <c r="B268" s="30">
        <v>45717.0</v>
      </c>
      <c r="C268" s="31">
        <v>745580.51</v>
      </c>
      <c r="D268" s="31">
        <v>717388.2434224</v>
      </c>
      <c r="E268" s="31">
        <v>28192.266577600036</v>
      </c>
    </row>
    <row r="269">
      <c r="A269" s="29" t="s">
        <v>88</v>
      </c>
      <c r="B269" s="30">
        <v>45748.0</v>
      </c>
      <c r="C269" s="31">
        <v>762328.31</v>
      </c>
      <c r="D269" s="31">
        <v>718852.7135064</v>
      </c>
      <c r="E269" s="31">
        <v>43475.59649360005</v>
      </c>
    </row>
    <row r="270">
      <c r="A270" s="29" t="s">
        <v>89</v>
      </c>
      <c r="B270" s="30">
        <v>45658.0</v>
      </c>
      <c r="C270" s="31">
        <v>660633.99</v>
      </c>
      <c r="D270" s="31">
        <v>729487.7635872</v>
      </c>
      <c r="E270" s="31">
        <v>-68853.77358719998</v>
      </c>
    </row>
    <row r="271">
      <c r="A271" s="29" t="s">
        <v>89</v>
      </c>
      <c r="B271" s="30">
        <v>45689.0</v>
      </c>
      <c r="C271" s="31">
        <v>739374.56</v>
      </c>
      <c r="D271" s="31">
        <v>682247.8478152</v>
      </c>
      <c r="E271" s="31">
        <v>57126.71218480007</v>
      </c>
    </row>
    <row r="272">
      <c r="A272" s="29" t="s">
        <v>89</v>
      </c>
      <c r="B272" s="30">
        <v>45717.0</v>
      </c>
      <c r="C272" s="31">
        <v>799756.46</v>
      </c>
      <c r="D272" s="31">
        <v>797097.671048</v>
      </c>
      <c r="E272" s="31">
        <v>2658.7889519999735</v>
      </c>
    </row>
    <row r="273">
      <c r="A273" s="29" t="s">
        <v>89</v>
      </c>
      <c r="B273" s="30">
        <v>45748.0</v>
      </c>
      <c r="C273" s="31">
        <v>593343.0</v>
      </c>
      <c r="D273" s="31">
        <v>661426.3871688</v>
      </c>
      <c r="E273" s="31">
        <v>-68083.38716879999</v>
      </c>
    </row>
    <row r="274">
      <c r="A274" s="29" t="s">
        <v>90</v>
      </c>
      <c r="B274" s="30">
        <v>45658.0</v>
      </c>
      <c r="C274" s="31">
        <v>645039.97</v>
      </c>
      <c r="D274" s="31">
        <v>642853.4452672</v>
      </c>
      <c r="E274" s="31">
        <v>2186.5247327999678</v>
      </c>
    </row>
    <row r="275">
      <c r="A275" s="29" t="s">
        <v>90</v>
      </c>
      <c r="B275" s="30">
        <v>45689.0</v>
      </c>
      <c r="C275" s="31">
        <v>561597.33</v>
      </c>
      <c r="D275" s="31">
        <v>530764.8850312</v>
      </c>
      <c r="E275" s="31">
        <v>30832.444968799944</v>
      </c>
    </row>
    <row r="276">
      <c r="A276" s="29" t="s">
        <v>90</v>
      </c>
      <c r="B276" s="30">
        <v>45717.0</v>
      </c>
      <c r="C276" s="31">
        <v>635837.74</v>
      </c>
      <c r="D276" s="31">
        <v>653910.7233535999</v>
      </c>
      <c r="E276" s="31">
        <v>-18072.983353599906</v>
      </c>
    </row>
    <row r="277">
      <c r="A277" s="29" t="s">
        <v>90</v>
      </c>
      <c r="B277" s="30">
        <v>45748.0</v>
      </c>
      <c r="C277" s="31">
        <v>686737.87</v>
      </c>
      <c r="D277" s="31">
        <v>612705.3899928001</v>
      </c>
      <c r="E277" s="31">
        <v>74032.48000719992</v>
      </c>
    </row>
    <row r="278">
      <c r="A278" s="29" t="s">
        <v>91</v>
      </c>
      <c r="B278" s="30">
        <v>45658.0</v>
      </c>
      <c r="C278" s="31">
        <v>673076.34</v>
      </c>
      <c r="D278" s="31">
        <v>763088.1779176</v>
      </c>
      <c r="E278" s="31">
        <v>-90011.83791760006</v>
      </c>
    </row>
    <row r="279">
      <c r="A279" s="29" t="s">
        <v>91</v>
      </c>
      <c r="B279" s="30">
        <v>45689.0</v>
      </c>
      <c r="C279" s="31">
        <v>738548.42</v>
      </c>
      <c r="D279" s="31">
        <v>718088.0390528</v>
      </c>
      <c r="E279" s="31">
        <v>20460.3809472</v>
      </c>
    </row>
    <row r="280">
      <c r="A280" s="29" t="s">
        <v>91</v>
      </c>
      <c r="B280" s="30">
        <v>45717.0</v>
      </c>
      <c r="C280" s="31">
        <v>756619.77</v>
      </c>
      <c r="D280" s="31">
        <v>770663.1437656</v>
      </c>
      <c r="E280" s="31">
        <v>-14043.37376560003</v>
      </c>
    </row>
    <row r="281">
      <c r="A281" s="29" t="s">
        <v>91</v>
      </c>
      <c r="B281" s="30">
        <v>45748.0</v>
      </c>
      <c r="C281" s="31">
        <v>761122.42</v>
      </c>
      <c r="D281" s="31">
        <v>790500.4891096</v>
      </c>
      <c r="E281" s="31">
        <v>-29378.06910959992</v>
      </c>
    </row>
    <row r="282">
      <c r="A282" s="29" t="s">
        <v>92</v>
      </c>
      <c r="B282" s="30">
        <v>45658.0</v>
      </c>
      <c r="C282" s="31">
        <v>524899.57</v>
      </c>
      <c r="D282" s="31">
        <v>578073.7960024</v>
      </c>
      <c r="E282" s="31">
        <v>-53174.22600240004</v>
      </c>
    </row>
    <row r="283">
      <c r="A283" s="29" t="s">
        <v>92</v>
      </c>
      <c r="B283" s="30">
        <v>45689.0</v>
      </c>
      <c r="C283" s="31">
        <v>555557.77</v>
      </c>
      <c r="D283" s="31">
        <v>589911.5572616</v>
      </c>
      <c r="E283" s="31">
        <v>-34353.787261600024</v>
      </c>
    </row>
    <row r="284">
      <c r="A284" s="29" t="s">
        <v>92</v>
      </c>
      <c r="B284" s="30">
        <v>45717.0</v>
      </c>
      <c r="C284" s="31">
        <v>714083.68</v>
      </c>
      <c r="D284" s="31">
        <v>696414.6925104001</v>
      </c>
      <c r="E284" s="31">
        <v>17668.987489599967</v>
      </c>
    </row>
    <row r="285">
      <c r="A285" s="29" t="s">
        <v>92</v>
      </c>
      <c r="B285" s="30">
        <v>45748.0</v>
      </c>
      <c r="C285" s="31">
        <v>497439.82</v>
      </c>
      <c r="D285" s="31">
        <v>506027.6464336001</v>
      </c>
      <c r="E285" s="31">
        <v>-8587.826433600101</v>
      </c>
    </row>
    <row r="286">
      <c r="A286" s="29" t="s">
        <v>93</v>
      </c>
      <c r="B286" s="30">
        <v>45658.0</v>
      </c>
      <c r="C286" s="31">
        <v>636775.66</v>
      </c>
      <c r="D286" s="31">
        <v>651972.5554496</v>
      </c>
      <c r="E286" s="31">
        <v>-15196.89544959995</v>
      </c>
    </row>
    <row r="287">
      <c r="A287" s="29" t="s">
        <v>93</v>
      </c>
      <c r="B287" s="30">
        <v>45689.0</v>
      </c>
      <c r="C287" s="31">
        <v>633009.53</v>
      </c>
      <c r="D287" s="31">
        <v>644148.8038024</v>
      </c>
      <c r="E287" s="31">
        <v>-11139.273802399985</v>
      </c>
    </row>
    <row r="288">
      <c r="A288" s="29" t="s">
        <v>93</v>
      </c>
      <c r="B288" s="30">
        <v>45717.0</v>
      </c>
      <c r="C288" s="31">
        <v>609949.0</v>
      </c>
      <c r="D288" s="31">
        <v>614915.7889352001</v>
      </c>
      <c r="E288" s="31">
        <v>-4966.788935200078</v>
      </c>
    </row>
    <row r="289">
      <c r="A289" s="29" t="s">
        <v>93</v>
      </c>
      <c r="B289" s="30">
        <v>45748.0</v>
      </c>
      <c r="C289" s="31">
        <v>548103.7</v>
      </c>
      <c r="D289" s="31">
        <v>568427.2579304001</v>
      </c>
      <c r="E289" s="31">
        <v>-20323.55793040013</v>
      </c>
    </row>
    <row r="290">
      <c r="A290" s="29" t="s">
        <v>94</v>
      </c>
      <c r="B290" s="30">
        <v>45658.0</v>
      </c>
      <c r="C290" s="31">
        <v>729424.42</v>
      </c>
      <c r="D290" s="31">
        <v>707337.4882456</v>
      </c>
      <c r="E290" s="31">
        <v>22086.931754400022</v>
      </c>
    </row>
    <row r="291">
      <c r="A291" s="29" t="s">
        <v>94</v>
      </c>
      <c r="B291" s="30">
        <v>45689.0</v>
      </c>
      <c r="C291" s="31">
        <v>696261.49</v>
      </c>
      <c r="D291" s="31">
        <v>728032.1788416</v>
      </c>
      <c r="E291" s="31">
        <v>-31770.68884159997</v>
      </c>
    </row>
    <row r="292">
      <c r="A292" s="29" t="s">
        <v>94</v>
      </c>
      <c r="B292" s="30">
        <v>45717.0</v>
      </c>
      <c r="C292" s="31">
        <v>813316.71</v>
      </c>
      <c r="D292" s="31">
        <v>714385.871768</v>
      </c>
      <c r="E292" s="31">
        <v>98930.83823200001</v>
      </c>
    </row>
    <row r="293">
      <c r="A293" s="29" t="s">
        <v>94</v>
      </c>
      <c r="B293" s="30">
        <v>45748.0</v>
      </c>
      <c r="C293" s="31">
        <v>702068.92</v>
      </c>
      <c r="D293" s="31">
        <v>708908.9417056</v>
      </c>
      <c r="E293" s="31">
        <v>-6840.021705599967</v>
      </c>
    </row>
    <row r="294">
      <c r="A294" s="29" t="s">
        <v>95</v>
      </c>
      <c r="B294" s="30">
        <v>45658.0</v>
      </c>
      <c r="C294" s="31">
        <v>546223.7</v>
      </c>
      <c r="D294" s="31">
        <v>584867.6919312</v>
      </c>
      <c r="E294" s="31">
        <v>-38643.99193120003</v>
      </c>
    </row>
    <row r="295">
      <c r="A295" s="29" t="s">
        <v>95</v>
      </c>
      <c r="B295" s="30">
        <v>45689.0</v>
      </c>
      <c r="C295" s="31">
        <v>533121.26</v>
      </c>
      <c r="D295" s="31">
        <v>526409.3751408</v>
      </c>
      <c r="E295" s="31">
        <v>6711.884859199985</v>
      </c>
    </row>
    <row r="296">
      <c r="A296" s="29" t="s">
        <v>95</v>
      </c>
      <c r="B296" s="30">
        <v>45717.0</v>
      </c>
      <c r="C296" s="31">
        <v>498970.32</v>
      </c>
      <c r="D296" s="31">
        <v>500645.5124416</v>
      </c>
      <c r="E296" s="31">
        <v>-1675.1924415999674</v>
      </c>
    </row>
    <row r="297">
      <c r="A297" s="29" t="s">
        <v>95</v>
      </c>
      <c r="B297" s="30">
        <v>45748.0</v>
      </c>
      <c r="C297" s="31">
        <v>487738.26</v>
      </c>
      <c r="D297" s="31">
        <v>468135.2433048</v>
      </c>
      <c r="E297" s="31">
        <v>19603.0166952</v>
      </c>
    </row>
    <row r="298">
      <c r="A298" s="29" t="s">
        <v>96</v>
      </c>
      <c r="B298" s="30">
        <v>45658.0</v>
      </c>
      <c r="C298" s="31">
        <v>668459.37</v>
      </c>
      <c r="D298" s="31">
        <v>677010.1460895999</v>
      </c>
      <c r="E298" s="31">
        <v>-8550.776089599938</v>
      </c>
    </row>
    <row r="299">
      <c r="A299" s="29" t="s">
        <v>96</v>
      </c>
      <c r="B299" s="30">
        <v>45689.0</v>
      </c>
      <c r="C299" s="31">
        <v>763162.45</v>
      </c>
      <c r="D299" s="31">
        <v>685838.6073776</v>
      </c>
      <c r="E299" s="31">
        <v>77323.84262239991</v>
      </c>
    </row>
    <row r="300">
      <c r="A300" s="29" t="s">
        <v>96</v>
      </c>
      <c r="B300" s="30">
        <v>45717.0</v>
      </c>
      <c r="C300" s="31">
        <v>599017.33</v>
      </c>
      <c r="D300" s="31">
        <v>628086.675152</v>
      </c>
      <c r="E300" s="31">
        <v>-29069.34515200008</v>
      </c>
    </row>
    <row r="301">
      <c r="A301" s="29" t="s">
        <v>96</v>
      </c>
      <c r="B301" s="30">
        <v>45748.0</v>
      </c>
      <c r="C301" s="31">
        <v>401582.58</v>
      </c>
      <c r="D301" s="31">
        <v>479085.79935680004</v>
      </c>
      <c r="E301" s="31">
        <v>-77503.21935680002</v>
      </c>
    </row>
    <row r="302">
      <c r="A302" s="29" t="s">
        <v>97</v>
      </c>
      <c r="B302" s="30">
        <v>45658.0</v>
      </c>
      <c r="C302" s="31">
        <v>703812.99</v>
      </c>
      <c r="D302" s="31">
        <v>718311.2242472001</v>
      </c>
      <c r="E302" s="31">
        <v>-14498.234247200075</v>
      </c>
    </row>
    <row r="303">
      <c r="A303" s="29" t="s">
        <v>97</v>
      </c>
      <c r="B303" s="30">
        <v>45689.0</v>
      </c>
      <c r="C303" s="31">
        <v>724346.73</v>
      </c>
      <c r="D303" s="31">
        <v>723279.8986968001</v>
      </c>
      <c r="E303" s="31">
        <v>1066.8313031998696</v>
      </c>
    </row>
    <row r="304">
      <c r="A304" s="29" t="s">
        <v>97</v>
      </c>
      <c r="B304" s="30">
        <v>45717.0</v>
      </c>
      <c r="C304" s="31">
        <v>730890.01</v>
      </c>
      <c r="D304" s="31">
        <v>730783.3185</v>
      </c>
      <c r="E304" s="31">
        <v>106.69149999995716</v>
      </c>
    </row>
    <row r="305">
      <c r="A305" s="29" t="s">
        <v>97</v>
      </c>
      <c r="B305" s="30">
        <v>45748.0</v>
      </c>
      <c r="C305" s="31">
        <v>780580.95</v>
      </c>
      <c r="D305" s="31">
        <v>719240.43756</v>
      </c>
      <c r="E305" s="31">
        <v>61340.51243999996</v>
      </c>
    </row>
    <row r="306">
      <c r="A306" s="29" t="s">
        <v>98</v>
      </c>
      <c r="B306" s="30">
        <v>45658.0</v>
      </c>
      <c r="C306" s="31">
        <v>727957.48</v>
      </c>
      <c r="D306" s="31">
        <v>706238.8544032</v>
      </c>
      <c r="E306" s="31">
        <v>21718.625596800004</v>
      </c>
    </row>
    <row r="307">
      <c r="A307" s="29" t="s">
        <v>98</v>
      </c>
      <c r="B307" s="30">
        <v>45689.0</v>
      </c>
      <c r="C307" s="31">
        <v>538376.0</v>
      </c>
      <c r="D307" s="31">
        <v>649658.5820384</v>
      </c>
      <c r="E307" s="31">
        <v>-111282.5820384</v>
      </c>
    </row>
    <row r="308">
      <c r="A308" s="29" t="s">
        <v>98</v>
      </c>
      <c r="B308" s="30">
        <v>45717.0</v>
      </c>
      <c r="C308" s="31">
        <v>665342.49</v>
      </c>
      <c r="D308" s="31">
        <v>635490.2008216</v>
      </c>
      <c r="E308" s="31">
        <v>29852.28917839995</v>
      </c>
    </row>
    <row r="309">
      <c r="A309" s="29" t="s">
        <v>98</v>
      </c>
      <c r="B309" s="30">
        <v>45748.0</v>
      </c>
      <c r="C309" s="31">
        <v>651164.18</v>
      </c>
      <c r="D309" s="31">
        <v>721152.086248</v>
      </c>
      <c r="E309" s="31">
        <v>-69987.90624799998</v>
      </c>
    </row>
    <row r="310">
      <c r="A310" s="29" t="s">
        <v>99</v>
      </c>
      <c r="B310" s="30">
        <v>45658.0</v>
      </c>
      <c r="C310" s="31">
        <v>628538.3</v>
      </c>
      <c r="D310" s="31">
        <v>652576.569596</v>
      </c>
      <c r="E310" s="31">
        <v>-24038.26959599997</v>
      </c>
    </row>
    <row r="311">
      <c r="A311" s="29" t="s">
        <v>99</v>
      </c>
      <c r="B311" s="30">
        <v>45689.0</v>
      </c>
      <c r="C311" s="31">
        <v>536524.84</v>
      </c>
      <c r="D311" s="31">
        <v>585169.6835608</v>
      </c>
      <c r="E311" s="31">
        <v>-48644.84356080007</v>
      </c>
    </row>
    <row r="312">
      <c r="A312" s="29" t="s">
        <v>99</v>
      </c>
      <c r="B312" s="30">
        <v>45717.0</v>
      </c>
      <c r="C312" s="31">
        <v>621677.3</v>
      </c>
      <c r="D312" s="31">
        <v>643445.1555104001</v>
      </c>
      <c r="E312" s="31">
        <v>-21767.855510400026</v>
      </c>
    </row>
    <row r="313">
      <c r="A313" s="29" t="s">
        <v>99</v>
      </c>
      <c r="B313" s="30">
        <v>45748.0</v>
      </c>
      <c r="C313" s="31">
        <v>771129.07</v>
      </c>
      <c r="D313" s="31">
        <v>759607.4016328</v>
      </c>
      <c r="E313" s="31">
        <v>11521.668367199949</v>
      </c>
    </row>
    <row r="314">
      <c r="A314" s="29" t="s">
        <v>100</v>
      </c>
      <c r="B314" s="30">
        <v>45658.0</v>
      </c>
      <c r="C314" s="31">
        <v>702052.47</v>
      </c>
      <c r="D314" s="31">
        <v>685442.6295232</v>
      </c>
      <c r="E314" s="31">
        <v>16609.84047679999</v>
      </c>
    </row>
    <row r="315">
      <c r="A315" s="29" t="s">
        <v>100</v>
      </c>
      <c r="B315" s="30">
        <v>45689.0</v>
      </c>
      <c r="C315" s="31">
        <v>688368.46</v>
      </c>
      <c r="D315" s="31">
        <v>734721.4775184001</v>
      </c>
      <c r="E315" s="31">
        <v>-46353.0175184001</v>
      </c>
    </row>
    <row r="316">
      <c r="A316" s="29" t="s">
        <v>100</v>
      </c>
      <c r="B316" s="30">
        <v>45717.0</v>
      </c>
      <c r="C316" s="31">
        <v>712375.77</v>
      </c>
      <c r="D316" s="31">
        <v>696153.5189056001</v>
      </c>
      <c r="E316" s="31">
        <v>16222.251094399951</v>
      </c>
    </row>
    <row r="317">
      <c r="A317" s="29" t="s">
        <v>100</v>
      </c>
      <c r="B317" s="30">
        <v>45748.0</v>
      </c>
      <c r="C317" s="31">
        <v>844710.67</v>
      </c>
      <c r="D317" s="31">
        <v>825322.9325848001</v>
      </c>
      <c r="E317" s="31">
        <v>19387.737415199983</v>
      </c>
    </row>
    <row r="318">
      <c r="A318" s="29" t="s">
        <v>101</v>
      </c>
      <c r="B318" s="30">
        <v>45658.0</v>
      </c>
      <c r="C318" s="31">
        <v>620264.2</v>
      </c>
      <c r="D318" s="31">
        <v>675179.8173112001</v>
      </c>
      <c r="E318" s="31">
        <v>-54915.61731120013</v>
      </c>
    </row>
    <row r="319">
      <c r="A319" s="29" t="s">
        <v>101</v>
      </c>
      <c r="B319" s="30">
        <v>45689.0</v>
      </c>
      <c r="C319" s="31">
        <v>536845.42</v>
      </c>
      <c r="D319" s="31">
        <v>525474.7722496</v>
      </c>
      <c r="E319" s="31">
        <v>11370.647750400007</v>
      </c>
    </row>
    <row r="320">
      <c r="A320" s="29" t="s">
        <v>101</v>
      </c>
      <c r="B320" s="30">
        <v>45717.0</v>
      </c>
      <c r="C320" s="31">
        <v>726776.22</v>
      </c>
      <c r="D320" s="31">
        <v>732092.1677928</v>
      </c>
      <c r="E320" s="31">
        <v>-5315.947792800027</v>
      </c>
    </row>
    <row r="321">
      <c r="A321" s="29" t="s">
        <v>101</v>
      </c>
      <c r="B321" s="32">
        <v>45748.0</v>
      </c>
      <c r="C321" s="29">
        <v>559660.84</v>
      </c>
      <c r="D321" s="29">
        <v>597264.9514576</v>
      </c>
      <c r="E321" s="29">
        <v>-37604.111457600025</v>
      </c>
    </row>
    <row r="322">
      <c r="A322" s="29"/>
      <c r="B322" s="29"/>
      <c r="C322" s="29"/>
      <c r="D322" s="29"/>
      <c r="E322" s="29"/>
    </row>
    <row r="323">
      <c r="A323" s="29"/>
      <c r="B323" s="29"/>
      <c r="C323" s="29"/>
      <c r="D323" s="29"/>
      <c r="E323" s="29"/>
    </row>
    <row r="324">
      <c r="A324" s="29"/>
      <c r="B324" s="29"/>
      <c r="C324" s="29"/>
      <c r="D324" s="29"/>
      <c r="E324" s="29"/>
    </row>
    <row r="325">
      <c r="A325" s="29"/>
      <c r="B325" s="29"/>
      <c r="C325" s="29"/>
      <c r="D325" s="29"/>
      <c r="E325" s="29"/>
    </row>
    <row r="326">
      <c r="A326" s="29"/>
      <c r="B326" s="29"/>
      <c r="C326" s="29"/>
      <c r="D326" s="29"/>
      <c r="E326" s="29"/>
    </row>
    <row r="327">
      <c r="A327" s="29"/>
      <c r="B327" s="29"/>
      <c r="C327" s="29"/>
      <c r="D327" s="29"/>
      <c r="E327" s="29"/>
    </row>
    <row r="328">
      <c r="A328" s="29"/>
      <c r="B328" s="29"/>
      <c r="C328" s="29"/>
      <c r="D328" s="29"/>
      <c r="E328" s="29"/>
    </row>
    <row r="329">
      <c r="A329" s="29"/>
      <c r="B329" s="29"/>
      <c r="C329" s="29"/>
      <c r="D329" s="29"/>
      <c r="E329" s="29"/>
    </row>
    <row r="330">
      <c r="A330" s="29"/>
      <c r="B330" s="29"/>
      <c r="C330" s="29"/>
      <c r="D330" s="29"/>
      <c r="E330" s="29"/>
    </row>
    <row r="331">
      <c r="A331" s="29"/>
      <c r="B331" s="29"/>
      <c r="C331" s="29"/>
      <c r="D331" s="29"/>
      <c r="E331" s="29"/>
    </row>
    <row r="332">
      <c r="A332" s="29"/>
      <c r="B332" s="29"/>
      <c r="C332" s="29"/>
      <c r="D332" s="29"/>
      <c r="E332" s="29"/>
    </row>
    <row r="333">
      <c r="A333" s="29"/>
      <c r="B333" s="29"/>
      <c r="C333" s="29"/>
      <c r="D333" s="29"/>
      <c r="E333" s="29"/>
    </row>
    <row r="334">
      <c r="A334" s="29"/>
      <c r="B334" s="29"/>
      <c r="C334" s="29"/>
      <c r="D334" s="29"/>
      <c r="E334" s="29"/>
    </row>
    <row r="335">
      <c r="A335" s="29"/>
      <c r="B335" s="29"/>
      <c r="C335" s="29"/>
      <c r="D335" s="29"/>
      <c r="E335" s="29"/>
    </row>
    <row r="336">
      <c r="A336" s="29"/>
      <c r="B336" s="29"/>
      <c r="C336" s="29"/>
      <c r="D336" s="29"/>
      <c r="E336" s="29"/>
    </row>
    <row r="337">
      <c r="A337" s="29"/>
      <c r="B337" s="29"/>
      <c r="C337" s="29"/>
      <c r="D337" s="29"/>
      <c r="E337" s="29"/>
    </row>
    <row r="338">
      <c r="A338" s="29"/>
      <c r="B338" s="29"/>
      <c r="C338" s="29"/>
      <c r="D338" s="29"/>
      <c r="E338" s="29"/>
    </row>
    <row r="339">
      <c r="A339" s="29"/>
      <c r="B339" s="29"/>
      <c r="C339" s="29"/>
      <c r="D339" s="29"/>
      <c r="E339" s="29"/>
    </row>
    <row r="340">
      <c r="A340" s="29"/>
      <c r="B340" s="29"/>
      <c r="C340" s="29"/>
      <c r="D340" s="29"/>
      <c r="E340" s="29"/>
    </row>
    <row r="341">
      <c r="A341" s="29"/>
      <c r="B341" s="29"/>
      <c r="C341" s="29"/>
      <c r="D341" s="29"/>
      <c r="E341" s="29"/>
    </row>
    <row r="342">
      <c r="A342" s="29"/>
      <c r="B342" s="29"/>
      <c r="C342" s="29"/>
      <c r="D342" s="29"/>
      <c r="E342" s="29"/>
    </row>
    <row r="343">
      <c r="A343" s="29"/>
      <c r="B343" s="29"/>
      <c r="C343" s="29"/>
      <c r="D343" s="29"/>
      <c r="E343" s="29"/>
    </row>
    <row r="344">
      <c r="A344" s="29"/>
      <c r="B344" s="29"/>
      <c r="C344" s="29"/>
      <c r="D344" s="29"/>
      <c r="E344" s="29"/>
    </row>
    <row r="345">
      <c r="A345" s="29"/>
      <c r="B345" s="29"/>
      <c r="C345" s="29"/>
      <c r="D345" s="29"/>
      <c r="E345" s="29"/>
    </row>
    <row r="346">
      <c r="A346" s="29"/>
      <c r="B346" s="29"/>
      <c r="C346" s="29"/>
      <c r="D346" s="29"/>
      <c r="E346" s="29"/>
    </row>
    <row r="347">
      <c r="A347" s="29"/>
      <c r="B347" s="29"/>
      <c r="C347" s="29"/>
      <c r="D347" s="29"/>
      <c r="E347" s="29"/>
    </row>
    <row r="348">
      <c r="A348" s="29"/>
      <c r="B348" s="29"/>
      <c r="C348" s="29"/>
      <c r="D348" s="29"/>
      <c r="E348" s="29"/>
    </row>
    <row r="349">
      <c r="A349" s="29"/>
      <c r="B349" s="29"/>
      <c r="C349" s="29"/>
      <c r="D349" s="29"/>
      <c r="E349" s="29"/>
    </row>
    <row r="350">
      <c r="A350" s="29"/>
      <c r="B350" s="29"/>
      <c r="C350" s="29"/>
      <c r="D350" s="29"/>
      <c r="E350" s="29"/>
    </row>
    <row r="351">
      <c r="A351" s="29"/>
      <c r="B351" s="29"/>
      <c r="C351" s="29"/>
      <c r="D351" s="29"/>
      <c r="E351" s="29"/>
    </row>
    <row r="352">
      <c r="A352" s="29"/>
      <c r="B352" s="29"/>
      <c r="C352" s="29"/>
      <c r="D352" s="29"/>
      <c r="E352" s="29"/>
    </row>
    <row r="353">
      <c r="A353" s="29"/>
      <c r="B353" s="29"/>
      <c r="C353" s="29"/>
      <c r="D353" s="29"/>
      <c r="E353" s="29"/>
    </row>
    <row r="354">
      <c r="A354" s="29"/>
      <c r="B354" s="29"/>
      <c r="C354" s="29"/>
      <c r="D354" s="29"/>
      <c r="E354" s="29"/>
    </row>
    <row r="355">
      <c r="A355" s="29"/>
      <c r="B355" s="29"/>
      <c r="C355" s="29"/>
      <c r="D355" s="29"/>
      <c r="E355" s="29"/>
    </row>
    <row r="356">
      <c r="A356" s="29"/>
      <c r="B356" s="29"/>
      <c r="C356" s="29"/>
      <c r="D356" s="29"/>
      <c r="E356" s="29"/>
    </row>
    <row r="357">
      <c r="A357" s="29"/>
      <c r="B357" s="29"/>
      <c r="C357" s="29"/>
      <c r="D357" s="29"/>
      <c r="E357" s="29"/>
    </row>
    <row r="358">
      <c r="A358" s="29"/>
      <c r="B358" s="29"/>
      <c r="C358" s="29"/>
      <c r="D358" s="29"/>
      <c r="E358" s="29"/>
    </row>
    <row r="359">
      <c r="A359" s="29"/>
      <c r="B359" s="29"/>
      <c r="C359" s="29"/>
      <c r="D359" s="29"/>
      <c r="E359" s="29"/>
    </row>
    <row r="360">
      <c r="A360" s="29"/>
      <c r="B360" s="29"/>
      <c r="C360" s="29"/>
      <c r="D360" s="29"/>
      <c r="E360" s="29"/>
    </row>
    <row r="361">
      <c r="A361" s="29"/>
      <c r="B361" s="29"/>
      <c r="C361" s="29"/>
      <c r="D361" s="29"/>
      <c r="E361" s="29"/>
    </row>
    <row r="362">
      <c r="A362" s="29"/>
      <c r="B362" s="29"/>
      <c r="C362" s="29"/>
      <c r="D362" s="29"/>
      <c r="E362" s="29"/>
    </row>
    <row r="363">
      <c r="A363" s="29"/>
      <c r="B363" s="29"/>
      <c r="C363" s="29"/>
      <c r="D363" s="29"/>
      <c r="E363" s="29"/>
    </row>
    <row r="364">
      <c r="A364" s="29"/>
      <c r="B364" s="29"/>
      <c r="C364" s="29"/>
      <c r="D364" s="29"/>
      <c r="E364" s="29"/>
    </row>
    <row r="365">
      <c r="A365" s="29"/>
      <c r="B365" s="29"/>
      <c r="C365" s="29"/>
      <c r="D365" s="29"/>
      <c r="E365" s="29"/>
    </row>
    <row r="366">
      <c r="A366" s="29"/>
      <c r="B366" s="29"/>
      <c r="C366" s="29"/>
      <c r="D366" s="29"/>
      <c r="E366" s="29"/>
    </row>
    <row r="367">
      <c r="A367" s="29"/>
      <c r="B367" s="29"/>
      <c r="C367" s="29"/>
      <c r="D367" s="29"/>
      <c r="E367" s="29"/>
    </row>
    <row r="368">
      <c r="A368" s="29"/>
      <c r="B368" s="29"/>
      <c r="C368" s="29"/>
      <c r="D368" s="29"/>
      <c r="E368" s="29"/>
    </row>
    <row r="369">
      <c r="A369" s="29"/>
      <c r="B369" s="29"/>
      <c r="C369" s="29"/>
      <c r="D369" s="29"/>
      <c r="E369" s="29"/>
    </row>
    <row r="370">
      <c r="A370" s="29"/>
      <c r="B370" s="29"/>
      <c r="C370" s="29"/>
      <c r="D370" s="29"/>
      <c r="E370" s="29"/>
    </row>
    <row r="371">
      <c r="A371" s="29"/>
      <c r="B371" s="29"/>
      <c r="C371" s="29"/>
      <c r="D371" s="29"/>
      <c r="E371" s="29"/>
    </row>
    <row r="372">
      <c r="A372" s="29"/>
      <c r="B372" s="29"/>
      <c r="C372" s="29"/>
      <c r="D372" s="29"/>
      <c r="E372" s="29"/>
    </row>
    <row r="373">
      <c r="A373" s="29"/>
      <c r="B373" s="29"/>
      <c r="C373" s="29"/>
      <c r="D373" s="29"/>
      <c r="E373" s="29"/>
    </row>
    <row r="374">
      <c r="A374" s="29"/>
      <c r="B374" s="29"/>
      <c r="C374" s="29"/>
      <c r="D374" s="29"/>
      <c r="E374" s="29"/>
    </row>
    <row r="375">
      <c r="A375" s="29"/>
      <c r="B375" s="29"/>
      <c r="C375" s="29"/>
      <c r="D375" s="29"/>
      <c r="E375" s="29"/>
    </row>
    <row r="376">
      <c r="A376" s="29"/>
      <c r="B376" s="29"/>
      <c r="C376" s="29"/>
      <c r="D376" s="29"/>
      <c r="E376" s="29"/>
    </row>
    <row r="377">
      <c r="A377" s="29"/>
      <c r="B377" s="29"/>
      <c r="C377" s="29"/>
      <c r="D377" s="29"/>
      <c r="E377" s="29"/>
    </row>
    <row r="378">
      <c r="A378" s="29"/>
      <c r="B378" s="29"/>
      <c r="C378" s="29"/>
      <c r="D378" s="29"/>
      <c r="E378" s="29"/>
    </row>
    <row r="379">
      <c r="A379" s="29"/>
      <c r="B379" s="29"/>
      <c r="C379" s="29"/>
      <c r="D379" s="29"/>
      <c r="E379" s="29"/>
    </row>
    <row r="380">
      <c r="A380" s="29"/>
      <c r="B380" s="29"/>
      <c r="C380" s="29"/>
      <c r="D380" s="29"/>
      <c r="E380" s="29"/>
    </row>
    <row r="381">
      <c r="A381" s="29"/>
      <c r="B381" s="29"/>
      <c r="C381" s="29"/>
      <c r="D381" s="29"/>
      <c r="E381" s="29"/>
    </row>
    <row r="382">
      <c r="A382" s="29"/>
      <c r="B382" s="29"/>
      <c r="C382" s="29"/>
      <c r="D382" s="29"/>
      <c r="E382" s="29"/>
    </row>
    <row r="383">
      <c r="A383" s="29"/>
      <c r="B383" s="29"/>
      <c r="C383" s="29"/>
      <c r="D383" s="29"/>
      <c r="E383" s="29"/>
    </row>
    <row r="384">
      <c r="A384" s="29"/>
      <c r="B384" s="29"/>
      <c r="C384" s="29"/>
      <c r="D384" s="29"/>
      <c r="E384" s="29"/>
    </row>
    <row r="385">
      <c r="A385" s="29"/>
      <c r="B385" s="29"/>
      <c r="C385" s="29"/>
      <c r="D385" s="29"/>
      <c r="E385" s="29"/>
    </row>
    <row r="386">
      <c r="A386" s="29"/>
      <c r="B386" s="29"/>
      <c r="C386" s="29"/>
      <c r="D386" s="29"/>
      <c r="E386" s="29"/>
    </row>
    <row r="387">
      <c r="A387" s="29"/>
      <c r="B387" s="29"/>
      <c r="C387" s="29"/>
      <c r="D387" s="29"/>
      <c r="E387" s="29"/>
    </row>
    <row r="388">
      <c r="A388" s="29"/>
      <c r="B388" s="29"/>
      <c r="C388" s="29"/>
      <c r="D388" s="29"/>
      <c r="E388" s="29"/>
    </row>
    <row r="389">
      <c r="A389" s="29"/>
      <c r="B389" s="29"/>
      <c r="C389" s="29"/>
      <c r="D389" s="29"/>
      <c r="E389" s="29"/>
    </row>
    <row r="390">
      <c r="A390" s="29"/>
      <c r="B390" s="29"/>
      <c r="C390" s="29"/>
      <c r="D390" s="29"/>
      <c r="E390" s="29"/>
    </row>
    <row r="391">
      <c r="A391" s="29"/>
      <c r="B391" s="29"/>
      <c r="C391" s="29"/>
      <c r="D391" s="29"/>
      <c r="E391" s="29"/>
    </row>
    <row r="392">
      <c r="A392" s="29"/>
      <c r="B392" s="29"/>
      <c r="C392" s="29"/>
      <c r="D392" s="29"/>
      <c r="E392" s="29"/>
    </row>
    <row r="393">
      <c r="A393" s="29"/>
      <c r="B393" s="29"/>
      <c r="C393" s="29"/>
      <c r="D393" s="29"/>
      <c r="E393" s="29"/>
    </row>
    <row r="394">
      <c r="A394" s="29"/>
      <c r="B394" s="29"/>
      <c r="C394" s="29"/>
      <c r="D394" s="29"/>
      <c r="E394" s="29"/>
    </row>
    <row r="395">
      <c r="A395" s="29"/>
      <c r="B395" s="29"/>
      <c r="C395" s="29"/>
      <c r="D395" s="29"/>
      <c r="E395" s="29"/>
    </row>
    <row r="396">
      <c r="A396" s="29"/>
      <c r="B396" s="29"/>
      <c r="C396" s="29"/>
      <c r="D396" s="29"/>
      <c r="E396" s="29"/>
    </row>
    <row r="397">
      <c r="A397" s="29"/>
      <c r="B397" s="29"/>
      <c r="C397" s="29"/>
      <c r="D397" s="29"/>
      <c r="E397" s="29"/>
    </row>
    <row r="398">
      <c r="A398" s="29"/>
      <c r="B398" s="29"/>
      <c r="C398" s="29"/>
      <c r="D398" s="29"/>
      <c r="E398" s="29"/>
    </row>
    <row r="399">
      <c r="A399" s="29"/>
      <c r="B399" s="29"/>
      <c r="C399" s="29"/>
      <c r="D399" s="29"/>
      <c r="E399" s="29"/>
    </row>
    <row r="400">
      <c r="A400" s="29"/>
      <c r="B400" s="29"/>
      <c r="C400" s="29"/>
      <c r="D400" s="29"/>
      <c r="E400" s="29"/>
    </row>
    <row r="401">
      <c r="A401" s="29"/>
      <c r="B401" s="29"/>
      <c r="C401" s="29"/>
      <c r="D401" s="29"/>
      <c r="E401" s="29"/>
    </row>
    <row r="402">
      <c r="A402" s="29"/>
      <c r="B402" s="29"/>
      <c r="C402" s="29"/>
      <c r="D402" s="29"/>
      <c r="E402" s="29"/>
    </row>
    <row r="403">
      <c r="A403" s="29"/>
      <c r="B403" s="29"/>
      <c r="C403" s="29"/>
      <c r="D403" s="29"/>
      <c r="E403" s="29"/>
    </row>
    <row r="404">
      <c r="A404" s="29"/>
      <c r="B404" s="29"/>
      <c r="C404" s="29"/>
      <c r="D404" s="29"/>
      <c r="E404" s="29"/>
    </row>
    <row r="405">
      <c r="A405" s="29"/>
      <c r="B405" s="29"/>
      <c r="C405" s="29"/>
      <c r="D405" s="29"/>
      <c r="E405" s="29"/>
    </row>
    <row r="406">
      <c r="A406" s="29"/>
      <c r="B406" s="29"/>
      <c r="C406" s="29"/>
      <c r="D406" s="29"/>
      <c r="E406" s="29"/>
    </row>
    <row r="407">
      <c r="A407" s="29"/>
      <c r="B407" s="29"/>
      <c r="C407" s="29"/>
      <c r="D407" s="29"/>
      <c r="E407" s="29"/>
    </row>
    <row r="408">
      <c r="A408" s="29"/>
      <c r="B408" s="29"/>
      <c r="C408" s="29"/>
      <c r="D408" s="29"/>
      <c r="E408" s="29"/>
    </row>
    <row r="409">
      <c r="A409" s="29"/>
      <c r="B409" s="29"/>
      <c r="C409" s="29"/>
      <c r="D409" s="29"/>
      <c r="E409" s="29"/>
    </row>
    <row r="410">
      <c r="A410" s="29"/>
      <c r="B410" s="29"/>
      <c r="C410" s="29"/>
      <c r="D410" s="29"/>
      <c r="E410" s="29"/>
    </row>
    <row r="411">
      <c r="A411" s="29"/>
      <c r="B411" s="29"/>
      <c r="C411" s="29"/>
      <c r="D411" s="29"/>
      <c r="E411" s="29"/>
    </row>
    <row r="412">
      <c r="A412" s="29"/>
      <c r="B412" s="29"/>
      <c r="C412" s="29"/>
      <c r="D412" s="29"/>
      <c r="E412" s="29"/>
    </row>
    <row r="413">
      <c r="A413" s="29"/>
      <c r="B413" s="29"/>
      <c r="C413" s="29"/>
      <c r="D413" s="29"/>
      <c r="E413" s="29"/>
    </row>
    <row r="414">
      <c r="A414" s="29"/>
      <c r="B414" s="29"/>
      <c r="C414" s="29"/>
      <c r="D414" s="29"/>
      <c r="E414" s="29"/>
    </row>
    <row r="415">
      <c r="A415" s="29"/>
      <c r="B415" s="29"/>
      <c r="C415" s="29"/>
      <c r="D415" s="29"/>
      <c r="E415" s="29"/>
    </row>
    <row r="416">
      <c r="A416" s="29"/>
      <c r="B416" s="29"/>
      <c r="C416" s="29"/>
      <c r="D416" s="29"/>
      <c r="E416" s="29"/>
    </row>
    <row r="417">
      <c r="A417" s="29"/>
      <c r="B417" s="29"/>
      <c r="C417" s="29"/>
      <c r="D417" s="29"/>
      <c r="E417" s="29"/>
    </row>
    <row r="418">
      <c r="A418" s="29"/>
      <c r="B418" s="29"/>
      <c r="C418" s="29"/>
      <c r="D418" s="29"/>
      <c r="E418" s="29"/>
    </row>
    <row r="419">
      <c r="A419" s="29"/>
      <c r="B419" s="29"/>
      <c r="C419" s="29"/>
      <c r="D419" s="29"/>
      <c r="E419" s="29"/>
    </row>
    <row r="420">
      <c r="A420" s="29"/>
      <c r="B420" s="29"/>
      <c r="C420" s="29"/>
      <c r="D420" s="29"/>
      <c r="E420" s="29"/>
    </row>
    <row r="421">
      <c r="A421" s="29"/>
      <c r="B421" s="29"/>
      <c r="C421" s="29"/>
      <c r="D421" s="29"/>
      <c r="E421" s="29"/>
    </row>
    <row r="422">
      <c r="A422" s="29"/>
      <c r="B422" s="29"/>
      <c r="C422" s="29"/>
      <c r="D422" s="29"/>
      <c r="E422" s="29"/>
    </row>
    <row r="423">
      <c r="A423" s="29"/>
      <c r="B423" s="29"/>
      <c r="C423" s="29"/>
      <c r="D423" s="29"/>
      <c r="E423" s="29"/>
    </row>
    <row r="424">
      <c r="A424" s="29"/>
      <c r="B424" s="29"/>
      <c r="C424" s="29"/>
      <c r="D424" s="29"/>
      <c r="E424" s="29"/>
    </row>
    <row r="425">
      <c r="A425" s="29"/>
      <c r="B425" s="29"/>
      <c r="C425" s="29"/>
      <c r="D425" s="29"/>
      <c r="E425" s="29"/>
    </row>
    <row r="426">
      <c r="A426" s="29"/>
      <c r="B426" s="29"/>
      <c r="C426" s="29"/>
      <c r="D426" s="29"/>
      <c r="E426" s="29"/>
    </row>
    <row r="427">
      <c r="A427" s="29"/>
      <c r="B427" s="29"/>
      <c r="C427" s="29"/>
      <c r="D427" s="29"/>
      <c r="E427" s="29"/>
    </row>
    <row r="428">
      <c r="A428" s="29"/>
      <c r="B428" s="29"/>
      <c r="C428" s="29"/>
      <c r="D428" s="29"/>
      <c r="E428" s="29"/>
    </row>
    <row r="429">
      <c r="A429" s="29"/>
      <c r="B429" s="29"/>
      <c r="C429" s="29"/>
      <c r="D429" s="29"/>
      <c r="E429" s="29"/>
    </row>
    <row r="430">
      <c r="A430" s="29"/>
      <c r="B430" s="29"/>
      <c r="C430" s="29"/>
      <c r="D430" s="29"/>
      <c r="E430" s="29"/>
    </row>
    <row r="431">
      <c r="A431" s="29"/>
      <c r="B431" s="29"/>
      <c r="C431" s="29"/>
      <c r="D431" s="29"/>
      <c r="E431" s="29"/>
    </row>
    <row r="432">
      <c r="A432" s="29"/>
      <c r="B432" s="29"/>
      <c r="C432" s="29"/>
      <c r="D432" s="29"/>
      <c r="E432" s="29"/>
    </row>
    <row r="433">
      <c r="A433" s="29"/>
      <c r="B433" s="29"/>
      <c r="C433" s="29"/>
      <c r="D433" s="29"/>
      <c r="E433" s="29"/>
    </row>
    <row r="434">
      <c r="A434" s="29"/>
      <c r="B434" s="29"/>
      <c r="C434" s="29"/>
      <c r="D434" s="29"/>
      <c r="E434" s="29"/>
    </row>
    <row r="435">
      <c r="A435" s="29"/>
      <c r="B435" s="29"/>
      <c r="C435" s="29"/>
      <c r="D435" s="29"/>
      <c r="E435" s="29"/>
    </row>
    <row r="436">
      <c r="A436" s="29"/>
      <c r="B436" s="29"/>
      <c r="C436" s="29"/>
      <c r="D436" s="29"/>
      <c r="E436" s="29"/>
    </row>
    <row r="437">
      <c r="A437" s="29"/>
      <c r="B437" s="29"/>
      <c r="C437" s="29"/>
      <c r="D437" s="29"/>
      <c r="E437" s="29"/>
    </row>
    <row r="438">
      <c r="A438" s="29"/>
      <c r="B438" s="29"/>
      <c r="C438" s="29"/>
      <c r="D438" s="29"/>
      <c r="E438" s="29"/>
    </row>
    <row r="439">
      <c r="A439" s="29"/>
      <c r="B439" s="29"/>
      <c r="C439" s="29"/>
      <c r="D439" s="29"/>
      <c r="E439" s="29"/>
    </row>
    <row r="440">
      <c r="A440" s="29"/>
      <c r="B440" s="29"/>
      <c r="C440" s="29"/>
      <c r="D440" s="29"/>
      <c r="E440" s="29"/>
    </row>
    <row r="441">
      <c r="A441" s="29"/>
      <c r="B441" s="29"/>
      <c r="C441" s="29"/>
      <c r="D441" s="29"/>
      <c r="E441" s="29"/>
    </row>
    <row r="442">
      <c r="A442" s="29"/>
      <c r="B442" s="29"/>
      <c r="C442" s="29"/>
      <c r="D442" s="29"/>
      <c r="E442" s="29"/>
    </row>
    <row r="443">
      <c r="A443" s="29"/>
      <c r="B443" s="29"/>
      <c r="C443" s="29"/>
      <c r="D443" s="29"/>
      <c r="E443" s="29"/>
    </row>
    <row r="444">
      <c r="A444" s="29"/>
      <c r="B444" s="29"/>
      <c r="C444" s="29"/>
      <c r="D444" s="29"/>
      <c r="E444" s="29"/>
    </row>
    <row r="445">
      <c r="A445" s="29"/>
      <c r="B445" s="29"/>
      <c r="C445" s="29"/>
      <c r="D445" s="29"/>
      <c r="E445" s="29"/>
    </row>
    <row r="446">
      <c r="A446" s="29"/>
      <c r="B446" s="29"/>
      <c r="C446" s="29"/>
      <c r="D446" s="29"/>
      <c r="E446" s="29"/>
    </row>
    <row r="447">
      <c r="A447" s="29"/>
      <c r="B447" s="29"/>
      <c r="C447" s="29"/>
      <c r="D447" s="29"/>
      <c r="E447" s="29"/>
    </row>
    <row r="448">
      <c r="A448" s="29"/>
      <c r="B448" s="29"/>
      <c r="C448" s="29"/>
      <c r="D448" s="29"/>
      <c r="E448" s="29"/>
    </row>
    <row r="449">
      <c r="A449" s="29"/>
      <c r="B449" s="29"/>
      <c r="C449" s="29"/>
      <c r="D449" s="29"/>
      <c r="E449" s="29"/>
    </row>
    <row r="450">
      <c r="A450" s="29"/>
      <c r="B450" s="29"/>
      <c r="C450" s="29"/>
      <c r="D450" s="29"/>
      <c r="E450" s="29"/>
    </row>
    <row r="451">
      <c r="A451" s="29"/>
      <c r="B451" s="29"/>
      <c r="C451" s="29"/>
      <c r="D451" s="29"/>
      <c r="E451" s="29"/>
    </row>
    <row r="452">
      <c r="A452" s="29"/>
      <c r="B452" s="29"/>
      <c r="C452" s="29"/>
      <c r="D452" s="29"/>
      <c r="E452" s="29"/>
    </row>
    <row r="453">
      <c r="A453" s="29"/>
      <c r="B453" s="29"/>
      <c r="C453" s="29"/>
      <c r="D453" s="29"/>
      <c r="E453" s="29"/>
    </row>
    <row r="454">
      <c r="A454" s="29"/>
      <c r="B454" s="29"/>
      <c r="C454" s="29"/>
      <c r="D454" s="29"/>
      <c r="E454" s="29"/>
    </row>
    <row r="455">
      <c r="A455" s="29"/>
      <c r="B455" s="29"/>
      <c r="C455" s="29"/>
      <c r="D455" s="29"/>
      <c r="E455" s="29"/>
    </row>
    <row r="456">
      <c r="A456" s="29"/>
      <c r="B456" s="29"/>
      <c r="C456" s="29"/>
      <c r="D456" s="29"/>
      <c r="E456" s="29"/>
    </row>
    <row r="457">
      <c r="A457" s="29"/>
      <c r="B457" s="29"/>
      <c r="C457" s="29"/>
      <c r="D457" s="29"/>
      <c r="E457" s="29"/>
    </row>
    <row r="458">
      <c r="A458" s="29"/>
      <c r="B458" s="29"/>
      <c r="C458" s="29"/>
      <c r="D458" s="29"/>
      <c r="E458" s="29"/>
    </row>
    <row r="459">
      <c r="A459" s="29"/>
      <c r="B459" s="29"/>
      <c r="C459" s="29"/>
      <c r="D459" s="29"/>
      <c r="E459" s="29"/>
    </row>
    <row r="460">
      <c r="A460" s="29"/>
      <c r="B460" s="29"/>
      <c r="C460" s="29"/>
      <c r="D460" s="29"/>
      <c r="E460" s="29"/>
    </row>
    <row r="461">
      <c r="A461" s="29"/>
      <c r="B461" s="29"/>
      <c r="C461" s="29"/>
      <c r="D461" s="29"/>
      <c r="E461" s="29"/>
    </row>
    <row r="462">
      <c r="A462" s="29"/>
      <c r="B462" s="29"/>
      <c r="C462" s="29"/>
      <c r="D462" s="29"/>
      <c r="E462" s="29"/>
    </row>
    <row r="463">
      <c r="A463" s="29"/>
      <c r="B463" s="29"/>
      <c r="C463" s="29"/>
      <c r="D463" s="29"/>
      <c r="E463" s="29"/>
    </row>
    <row r="464">
      <c r="A464" s="29"/>
      <c r="B464" s="29"/>
      <c r="C464" s="29"/>
      <c r="D464" s="29"/>
      <c r="E464" s="29"/>
    </row>
    <row r="465">
      <c r="A465" s="29"/>
      <c r="B465" s="29"/>
      <c r="C465" s="29"/>
      <c r="D465" s="29"/>
      <c r="E465" s="29"/>
    </row>
    <row r="466">
      <c r="A466" s="29"/>
      <c r="B466" s="29"/>
      <c r="C466" s="29"/>
      <c r="D466" s="29"/>
      <c r="E466" s="29"/>
    </row>
    <row r="467">
      <c r="A467" s="29"/>
      <c r="B467" s="29"/>
      <c r="C467" s="29"/>
      <c r="D467" s="29"/>
      <c r="E467" s="29"/>
    </row>
    <row r="468">
      <c r="A468" s="29"/>
      <c r="B468" s="29"/>
      <c r="C468" s="29"/>
      <c r="D468" s="29"/>
      <c r="E468" s="29"/>
    </row>
    <row r="469">
      <c r="A469" s="29"/>
      <c r="B469" s="29"/>
      <c r="C469" s="29"/>
      <c r="D469" s="29"/>
      <c r="E469" s="29"/>
    </row>
    <row r="470">
      <c r="A470" s="29"/>
      <c r="B470" s="29"/>
      <c r="C470" s="29"/>
      <c r="D470" s="29"/>
      <c r="E470" s="29"/>
    </row>
    <row r="471">
      <c r="A471" s="29"/>
      <c r="B471" s="29"/>
      <c r="C471" s="29"/>
      <c r="D471" s="29"/>
      <c r="E471" s="29"/>
    </row>
    <row r="472">
      <c r="A472" s="29"/>
      <c r="B472" s="29"/>
      <c r="C472" s="29"/>
      <c r="D472" s="29"/>
      <c r="E472" s="29"/>
    </row>
    <row r="473">
      <c r="A473" s="29"/>
      <c r="B473" s="29"/>
      <c r="C473" s="29"/>
      <c r="D473" s="29"/>
      <c r="E473" s="29"/>
    </row>
    <row r="474">
      <c r="A474" s="29"/>
      <c r="B474" s="29"/>
      <c r="C474" s="29"/>
      <c r="D474" s="29"/>
      <c r="E474" s="29"/>
    </row>
    <row r="475">
      <c r="A475" s="29"/>
      <c r="B475" s="29"/>
      <c r="C475" s="29"/>
      <c r="D475" s="29"/>
      <c r="E475" s="29"/>
    </row>
    <row r="476">
      <c r="A476" s="29"/>
      <c r="B476" s="29"/>
      <c r="C476" s="29"/>
      <c r="D476" s="29"/>
      <c r="E476" s="29"/>
    </row>
    <row r="477">
      <c r="A477" s="29"/>
      <c r="B477" s="29"/>
      <c r="C477" s="29"/>
      <c r="D477" s="29"/>
      <c r="E477" s="29"/>
    </row>
    <row r="478">
      <c r="A478" s="29"/>
      <c r="B478" s="29"/>
      <c r="C478" s="29"/>
      <c r="D478" s="29"/>
      <c r="E478" s="29"/>
    </row>
    <row r="479">
      <c r="A479" s="29"/>
      <c r="B479" s="29"/>
      <c r="C479" s="29"/>
      <c r="D479" s="29"/>
      <c r="E479" s="29"/>
    </row>
    <row r="480">
      <c r="A480" s="29"/>
      <c r="B480" s="29"/>
      <c r="C480" s="29"/>
      <c r="D480" s="29"/>
      <c r="E480" s="29"/>
    </row>
    <row r="481">
      <c r="A481" s="29"/>
      <c r="B481" s="29"/>
      <c r="C481" s="29"/>
      <c r="D481" s="29"/>
      <c r="E481" s="29"/>
    </row>
    <row r="482">
      <c r="A482" s="29"/>
      <c r="B482" s="29"/>
      <c r="C482" s="29"/>
      <c r="D482" s="29"/>
      <c r="E482" s="29"/>
    </row>
    <row r="483">
      <c r="A483" s="29"/>
      <c r="B483" s="29"/>
      <c r="C483" s="29"/>
      <c r="D483" s="29"/>
      <c r="E483" s="29"/>
    </row>
    <row r="484">
      <c r="A484" s="29"/>
      <c r="B484" s="29"/>
      <c r="C484" s="29"/>
      <c r="D484" s="29"/>
      <c r="E484" s="29"/>
    </row>
    <row r="485">
      <c r="A485" s="29"/>
      <c r="B485" s="29"/>
      <c r="C485" s="29"/>
      <c r="D485" s="29"/>
      <c r="E485" s="29"/>
    </row>
    <row r="486">
      <c r="A486" s="29"/>
      <c r="B486" s="29"/>
      <c r="C486" s="29"/>
      <c r="D486" s="29"/>
      <c r="E486" s="29"/>
    </row>
    <row r="487">
      <c r="A487" s="29"/>
      <c r="B487" s="29"/>
      <c r="C487" s="29"/>
      <c r="D487" s="29"/>
      <c r="E487" s="29"/>
    </row>
    <row r="488">
      <c r="A488" s="29"/>
      <c r="B488" s="29"/>
      <c r="C488" s="29"/>
      <c r="D488" s="29"/>
      <c r="E488" s="29"/>
    </row>
    <row r="489">
      <c r="A489" s="29"/>
      <c r="B489" s="29"/>
      <c r="C489" s="29"/>
      <c r="D489" s="29"/>
      <c r="E489" s="29"/>
    </row>
    <row r="490">
      <c r="A490" s="29"/>
      <c r="B490" s="29"/>
      <c r="C490" s="29"/>
      <c r="D490" s="29"/>
      <c r="E490" s="29"/>
    </row>
    <row r="491">
      <c r="A491" s="29"/>
      <c r="B491" s="29"/>
      <c r="C491" s="29"/>
      <c r="D491" s="29"/>
      <c r="E491" s="29"/>
    </row>
    <row r="492">
      <c r="A492" s="29"/>
      <c r="B492" s="29"/>
      <c r="C492" s="29"/>
      <c r="D492" s="29"/>
      <c r="E492" s="29"/>
    </row>
    <row r="493">
      <c r="A493" s="29"/>
      <c r="B493" s="29"/>
      <c r="C493" s="29"/>
      <c r="D493" s="29"/>
      <c r="E493" s="29"/>
    </row>
    <row r="494">
      <c r="A494" s="29"/>
      <c r="B494" s="29"/>
      <c r="C494" s="29"/>
      <c r="D494" s="29"/>
      <c r="E494" s="29"/>
    </row>
    <row r="495">
      <c r="A495" s="29"/>
      <c r="B495" s="29"/>
      <c r="C495" s="29"/>
      <c r="D495" s="29"/>
      <c r="E495" s="29"/>
    </row>
    <row r="496">
      <c r="A496" s="29"/>
      <c r="B496" s="29"/>
      <c r="C496" s="29"/>
      <c r="D496" s="29"/>
      <c r="E496" s="29"/>
    </row>
    <row r="497">
      <c r="A497" s="29"/>
      <c r="B497" s="29"/>
      <c r="C497" s="29"/>
      <c r="D497" s="29"/>
      <c r="E497" s="29"/>
    </row>
    <row r="498">
      <c r="A498" s="29"/>
      <c r="B498" s="29"/>
      <c r="C498" s="29"/>
      <c r="D498" s="29"/>
      <c r="E498" s="29"/>
    </row>
    <row r="499">
      <c r="A499" s="29"/>
      <c r="B499" s="29"/>
      <c r="C499" s="29"/>
      <c r="D499" s="29"/>
      <c r="E499" s="29"/>
    </row>
    <row r="500">
      <c r="A500" s="29"/>
      <c r="B500" s="29"/>
      <c r="C500" s="29"/>
      <c r="D500" s="29"/>
      <c r="E500" s="29"/>
    </row>
    <row r="501">
      <c r="A501" s="29"/>
      <c r="B501" s="29"/>
      <c r="C501" s="29"/>
      <c r="D501" s="29"/>
      <c r="E501" s="29"/>
    </row>
    <row r="502">
      <c r="A502" s="29"/>
      <c r="B502" s="29"/>
      <c r="C502" s="29"/>
      <c r="D502" s="29"/>
      <c r="E502" s="29"/>
    </row>
    <row r="503">
      <c r="A503" s="29"/>
      <c r="B503" s="29"/>
      <c r="C503" s="29"/>
      <c r="D503" s="29"/>
      <c r="E503" s="29"/>
    </row>
    <row r="504">
      <c r="A504" s="29"/>
      <c r="B504" s="29"/>
      <c r="C504" s="29"/>
      <c r="D504" s="29"/>
      <c r="E504" s="29"/>
    </row>
    <row r="505">
      <c r="A505" s="29"/>
      <c r="B505" s="29"/>
      <c r="C505" s="29"/>
      <c r="D505" s="29"/>
      <c r="E505" s="29"/>
    </row>
    <row r="506">
      <c r="A506" s="29"/>
      <c r="B506" s="29"/>
      <c r="C506" s="29"/>
      <c r="D506" s="29"/>
      <c r="E506" s="29"/>
    </row>
    <row r="507">
      <c r="A507" s="29"/>
      <c r="B507" s="29"/>
      <c r="C507" s="29"/>
      <c r="D507" s="29"/>
      <c r="E507" s="29"/>
    </row>
    <row r="508">
      <c r="A508" s="29"/>
      <c r="B508" s="29"/>
      <c r="C508" s="29"/>
      <c r="D508" s="29"/>
      <c r="E508" s="29"/>
    </row>
    <row r="509">
      <c r="A509" s="29"/>
      <c r="B509" s="29"/>
      <c r="C509" s="29"/>
      <c r="D509" s="29"/>
      <c r="E509" s="29"/>
    </row>
    <row r="510">
      <c r="A510" s="29"/>
      <c r="B510" s="29"/>
      <c r="C510" s="29"/>
      <c r="D510" s="29"/>
      <c r="E510" s="29"/>
    </row>
    <row r="511">
      <c r="A511" s="29"/>
      <c r="B511" s="29"/>
      <c r="C511" s="29"/>
      <c r="D511" s="29"/>
      <c r="E511" s="29"/>
    </row>
    <row r="512">
      <c r="A512" s="29"/>
      <c r="B512" s="29"/>
      <c r="C512" s="29"/>
      <c r="D512" s="29"/>
      <c r="E512" s="29"/>
    </row>
    <row r="513">
      <c r="A513" s="29"/>
      <c r="B513" s="29"/>
      <c r="C513" s="29"/>
      <c r="D513" s="29"/>
      <c r="E513" s="29"/>
    </row>
    <row r="514">
      <c r="A514" s="29"/>
      <c r="B514" s="29"/>
      <c r="C514" s="29"/>
      <c r="D514" s="29"/>
      <c r="E514" s="29"/>
    </row>
    <row r="515">
      <c r="A515" s="29"/>
      <c r="B515" s="29"/>
      <c r="C515" s="29"/>
      <c r="D515" s="29"/>
      <c r="E515" s="29"/>
    </row>
    <row r="516">
      <c r="A516" s="29"/>
      <c r="B516" s="29"/>
      <c r="C516" s="29"/>
      <c r="D516" s="29"/>
      <c r="E516" s="29"/>
    </row>
    <row r="517">
      <c r="A517" s="29"/>
      <c r="B517" s="29"/>
      <c r="C517" s="29"/>
      <c r="D517" s="29"/>
      <c r="E517" s="29"/>
    </row>
    <row r="518">
      <c r="A518" s="29"/>
      <c r="B518" s="29"/>
      <c r="C518" s="29"/>
      <c r="D518" s="29"/>
      <c r="E518" s="29"/>
    </row>
    <row r="519">
      <c r="A519" s="29"/>
      <c r="B519" s="29"/>
      <c r="C519" s="29"/>
      <c r="D519" s="29"/>
      <c r="E519" s="29"/>
    </row>
    <row r="520">
      <c r="A520" s="29"/>
      <c r="B520" s="29"/>
      <c r="C520" s="29"/>
      <c r="D520" s="29"/>
      <c r="E520" s="29"/>
    </row>
    <row r="521">
      <c r="A521" s="29"/>
      <c r="B521" s="29"/>
      <c r="C521" s="29"/>
      <c r="D521" s="29"/>
      <c r="E521" s="29"/>
    </row>
    <row r="522">
      <c r="A522" s="29"/>
      <c r="B522" s="29"/>
      <c r="C522" s="29"/>
      <c r="D522" s="29"/>
      <c r="E522" s="29"/>
    </row>
    <row r="523">
      <c r="A523" s="29"/>
      <c r="B523" s="29"/>
      <c r="C523" s="29"/>
      <c r="D523" s="29"/>
      <c r="E523" s="29"/>
    </row>
    <row r="524">
      <c r="A524" s="29"/>
      <c r="B524" s="29"/>
      <c r="C524" s="29"/>
      <c r="D524" s="29"/>
      <c r="E524" s="29"/>
    </row>
    <row r="525">
      <c r="A525" s="29"/>
      <c r="B525" s="29"/>
      <c r="C525" s="29"/>
      <c r="D525" s="29"/>
      <c r="E525" s="29"/>
    </row>
    <row r="526">
      <c r="A526" s="29"/>
      <c r="B526" s="29"/>
      <c r="C526" s="29"/>
      <c r="D526" s="29"/>
      <c r="E526" s="29"/>
    </row>
    <row r="527">
      <c r="A527" s="29"/>
      <c r="B527" s="29"/>
      <c r="C527" s="29"/>
      <c r="D527" s="29"/>
      <c r="E527" s="29"/>
    </row>
    <row r="528">
      <c r="A528" s="29"/>
      <c r="B528" s="29"/>
      <c r="C528" s="29"/>
      <c r="D528" s="29"/>
      <c r="E528" s="29"/>
    </row>
    <row r="529">
      <c r="A529" s="29"/>
      <c r="B529" s="29"/>
      <c r="C529" s="29"/>
      <c r="D529" s="29"/>
      <c r="E529" s="29"/>
    </row>
    <row r="530">
      <c r="A530" s="29"/>
      <c r="B530" s="29"/>
      <c r="C530" s="29"/>
      <c r="D530" s="29"/>
      <c r="E530" s="29"/>
    </row>
    <row r="531">
      <c r="A531" s="29"/>
      <c r="B531" s="29"/>
      <c r="C531" s="29"/>
      <c r="D531" s="29"/>
      <c r="E531" s="29"/>
    </row>
    <row r="532">
      <c r="A532" s="29"/>
      <c r="B532" s="29"/>
      <c r="C532" s="29"/>
      <c r="D532" s="29"/>
      <c r="E532" s="29"/>
    </row>
    <row r="533">
      <c r="A533" s="29"/>
      <c r="B533" s="29"/>
      <c r="C533" s="29"/>
      <c r="D533" s="29"/>
      <c r="E533" s="29"/>
    </row>
    <row r="534">
      <c r="A534" s="29"/>
      <c r="B534" s="29"/>
      <c r="C534" s="29"/>
      <c r="D534" s="29"/>
      <c r="E534" s="29"/>
    </row>
    <row r="535">
      <c r="A535" s="29"/>
      <c r="B535" s="29"/>
      <c r="C535" s="29"/>
      <c r="D535" s="29"/>
      <c r="E535" s="29"/>
    </row>
    <row r="536">
      <c r="A536" s="29"/>
      <c r="B536" s="29"/>
      <c r="C536" s="29"/>
      <c r="D536" s="29"/>
      <c r="E536" s="29"/>
    </row>
    <row r="537">
      <c r="A537" s="29"/>
      <c r="B537" s="29"/>
      <c r="C537" s="29"/>
      <c r="D537" s="29"/>
      <c r="E537" s="29"/>
    </row>
    <row r="538">
      <c r="A538" s="29"/>
      <c r="B538" s="29"/>
      <c r="C538" s="29"/>
      <c r="D538" s="29"/>
      <c r="E538" s="29"/>
    </row>
    <row r="539">
      <c r="A539" s="29"/>
      <c r="B539" s="29"/>
      <c r="C539" s="29"/>
      <c r="D539" s="29"/>
      <c r="E539" s="29"/>
    </row>
    <row r="540">
      <c r="A540" s="29"/>
      <c r="B540" s="29"/>
      <c r="C540" s="29"/>
      <c r="D540" s="29"/>
      <c r="E540" s="29"/>
    </row>
    <row r="541">
      <c r="A541" s="29"/>
      <c r="B541" s="29"/>
      <c r="C541" s="29"/>
      <c r="D541" s="29"/>
      <c r="E541" s="29"/>
    </row>
    <row r="542">
      <c r="A542" s="29"/>
      <c r="B542" s="29"/>
      <c r="C542" s="29"/>
      <c r="D542" s="29"/>
      <c r="E542" s="29"/>
    </row>
    <row r="543">
      <c r="A543" s="29"/>
      <c r="B543" s="29"/>
      <c r="C543" s="29"/>
      <c r="D543" s="29"/>
      <c r="E543" s="29"/>
    </row>
    <row r="544">
      <c r="A544" s="29"/>
      <c r="B544" s="29"/>
      <c r="C544" s="29"/>
      <c r="D544" s="29"/>
      <c r="E544" s="29"/>
    </row>
    <row r="545">
      <c r="A545" s="29"/>
      <c r="B545" s="29"/>
      <c r="C545" s="29"/>
      <c r="D545" s="29"/>
      <c r="E545" s="29"/>
    </row>
    <row r="546">
      <c r="A546" s="29"/>
      <c r="B546" s="29"/>
      <c r="C546" s="29"/>
      <c r="D546" s="29"/>
      <c r="E546" s="29"/>
    </row>
    <row r="547">
      <c r="A547" s="29"/>
      <c r="B547" s="29"/>
      <c r="C547" s="29"/>
      <c r="D547" s="29"/>
      <c r="E547" s="29"/>
    </row>
    <row r="548">
      <c r="A548" s="29"/>
      <c r="B548" s="29"/>
      <c r="C548" s="29"/>
      <c r="D548" s="29"/>
      <c r="E548" s="29"/>
    </row>
    <row r="549">
      <c r="A549" s="29"/>
      <c r="B549" s="29"/>
      <c r="C549" s="29"/>
      <c r="D549" s="29"/>
      <c r="E549" s="29"/>
    </row>
    <row r="550">
      <c r="A550" s="29"/>
      <c r="B550" s="29"/>
      <c r="C550" s="29"/>
      <c r="D550" s="29"/>
      <c r="E550" s="29"/>
    </row>
    <row r="551">
      <c r="A551" s="29"/>
      <c r="B551" s="29"/>
      <c r="C551" s="29"/>
      <c r="D551" s="29"/>
      <c r="E551" s="29"/>
    </row>
    <row r="552">
      <c r="A552" s="29"/>
      <c r="B552" s="29"/>
      <c r="C552" s="29"/>
      <c r="D552" s="29"/>
      <c r="E552" s="29"/>
    </row>
    <row r="553">
      <c r="A553" s="29"/>
      <c r="B553" s="29"/>
      <c r="C553" s="29"/>
      <c r="D553" s="29"/>
      <c r="E553" s="29"/>
    </row>
    <row r="554">
      <c r="A554" s="29"/>
      <c r="B554" s="29"/>
      <c r="C554" s="29"/>
      <c r="D554" s="29"/>
      <c r="E554" s="29"/>
    </row>
    <row r="555">
      <c r="A555" s="29"/>
      <c r="B555" s="29"/>
      <c r="C555" s="29"/>
      <c r="D555" s="29"/>
      <c r="E555" s="29"/>
    </row>
    <row r="556">
      <c r="A556" s="29"/>
      <c r="B556" s="29"/>
      <c r="C556" s="29"/>
      <c r="D556" s="29"/>
      <c r="E556" s="29"/>
    </row>
    <row r="557">
      <c r="A557" s="29"/>
      <c r="B557" s="29"/>
      <c r="C557" s="29"/>
      <c r="D557" s="29"/>
      <c r="E557" s="29"/>
    </row>
    <row r="558">
      <c r="A558" s="29"/>
      <c r="B558" s="29"/>
      <c r="C558" s="29"/>
      <c r="D558" s="29"/>
      <c r="E558" s="29"/>
    </row>
    <row r="559">
      <c r="A559" s="29"/>
      <c r="B559" s="29"/>
      <c r="C559" s="29"/>
      <c r="D559" s="29"/>
      <c r="E559" s="29"/>
    </row>
    <row r="560">
      <c r="A560" s="29"/>
      <c r="B560" s="29"/>
      <c r="C560" s="29"/>
      <c r="D560" s="29"/>
      <c r="E560" s="29"/>
    </row>
    <row r="561">
      <c r="A561" s="29"/>
      <c r="B561" s="29"/>
      <c r="C561" s="29"/>
      <c r="D561" s="29"/>
      <c r="E561" s="29"/>
    </row>
    <row r="562">
      <c r="A562" s="29"/>
      <c r="B562" s="29"/>
      <c r="C562" s="29"/>
      <c r="D562" s="29"/>
      <c r="E562" s="29"/>
    </row>
    <row r="563">
      <c r="A563" s="29"/>
      <c r="B563" s="29"/>
      <c r="C563" s="29"/>
      <c r="D563" s="29"/>
      <c r="E563" s="29"/>
    </row>
    <row r="564">
      <c r="A564" s="29"/>
      <c r="B564" s="29"/>
      <c r="C564" s="29"/>
      <c r="D564" s="29"/>
      <c r="E564" s="29"/>
    </row>
    <row r="565">
      <c r="A565" s="29"/>
      <c r="B565" s="29"/>
      <c r="C565" s="29"/>
      <c r="D565" s="29"/>
      <c r="E565" s="29"/>
    </row>
    <row r="566">
      <c r="A566" s="29"/>
      <c r="B566" s="29"/>
      <c r="C566" s="29"/>
      <c r="D566" s="29"/>
      <c r="E566" s="29"/>
    </row>
    <row r="567">
      <c r="A567" s="29"/>
      <c r="B567" s="29"/>
      <c r="C567" s="29"/>
      <c r="D567" s="29"/>
      <c r="E567" s="29"/>
    </row>
    <row r="568">
      <c r="A568" s="29"/>
      <c r="B568" s="29"/>
      <c r="C568" s="29"/>
      <c r="D568" s="29"/>
      <c r="E568" s="29"/>
    </row>
    <row r="569">
      <c r="A569" s="29"/>
      <c r="B569" s="29"/>
      <c r="C569" s="29"/>
      <c r="D569" s="29"/>
      <c r="E569" s="29"/>
    </row>
    <row r="570">
      <c r="A570" s="29"/>
      <c r="B570" s="29"/>
      <c r="C570" s="29"/>
      <c r="D570" s="29"/>
      <c r="E570" s="29"/>
    </row>
    <row r="571">
      <c r="A571" s="29"/>
      <c r="B571" s="29"/>
      <c r="C571" s="29"/>
      <c r="D571" s="29"/>
      <c r="E571" s="29"/>
    </row>
    <row r="572">
      <c r="A572" s="29"/>
      <c r="B572" s="29"/>
      <c r="C572" s="29"/>
      <c r="D572" s="29"/>
      <c r="E572" s="29"/>
    </row>
    <row r="573">
      <c r="A573" s="29"/>
      <c r="B573" s="29"/>
      <c r="C573" s="29"/>
      <c r="D573" s="29"/>
      <c r="E573" s="29"/>
    </row>
    <row r="574">
      <c r="A574" s="29"/>
      <c r="B574" s="29"/>
      <c r="C574" s="29"/>
      <c r="D574" s="29"/>
      <c r="E574" s="29"/>
    </row>
    <row r="575">
      <c r="A575" s="29"/>
      <c r="B575" s="29"/>
      <c r="C575" s="29"/>
      <c r="D575" s="29"/>
      <c r="E575" s="29"/>
    </row>
    <row r="576">
      <c r="A576" s="29"/>
      <c r="B576" s="29"/>
      <c r="C576" s="29"/>
      <c r="D576" s="29"/>
      <c r="E576" s="29"/>
    </row>
    <row r="577">
      <c r="A577" s="29"/>
      <c r="B577" s="29"/>
      <c r="C577" s="29"/>
      <c r="D577" s="29"/>
      <c r="E577" s="29"/>
    </row>
    <row r="578">
      <c r="A578" s="29"/>
      <c r="B578" s="29"/>
      <c r="C578" s="29"/>
      <c r="D578" s="29"/>
      <c r="E578" s="29"/>
    </row>
    <row r="579">
      <c r="A579" s="29"/>
      <c r="B579" s="29"/>
      <c r="C579" s="29"/>
      <c r="D579" s="29"/>
      <c r="E579" s="29"/>
    </row>
    <row r="580">
      <c r="A580" s="29"/>
      <c r="B580" s="29"/>
      <c r="C580" s="29"/>
      <c r="D580" s="29"/>
      <c r="E580" s="29"/>
    </row>
    <row r="581">
      <c r="A581" s="29"/>
      <c r="B581" s="29"/>
      <c r="C581" s="29"/>
      <c r="D581" s="29"/>
      <c r="E581" s="29"/>
    </row>
    <row r="582">
      <c r="A582" s="29"/>
      <c r="B582" s="29"/>
      <c r="C582" s="29"/>
      <c r="D582" s="29"/>
      <c r="E582" s="29"/>
    </row>
    <row r="583">
      <c r="A583" s="29"/>
      <c r="B583" s="29"/>
      <c r="C583" s="29"/>
      <c r="D583" s="29"/>
      <c r="E583" s="29"/>
    </row>
    <row r="584">
      <c r="A584" s="29"/>
      <c r="B584" s="29"/>
      <c r="C584" s="29"/>
      <c r="D584" s="29"/>
      <c r="E584" s="29"/>
    </row>
    <row r="585">
      <c r="A585" s="29"/>
      <c r="B585" s="29"/>
      <c r="C585" s="29"/>
      <c r="D585" s="29"/>
      <c r="E585" s="29"/>
    </row>
    <row r="586">
      <c r="A586" s="29"/>
      <c r="B586" s="29"/>
      <c r="C586" s="29"/>
      <c r="D586" s="29"/>
      <c r="E586" s="29"/>
    </row>
    <row r="587">
      <c r="A587" s="29"/>
      <c r="B587" s="29"/>
      <c r="C587" s="29"/>
      <c r="D587" s="29"/>
      <c r="E587" s="29"/>
    </row>
    <row r="588">
      <c r="A588" s="29"/>
      <c r="B588" s="29"/>
      <c r="C588" s="29"/>
      <c r="D588" s="29"/>
      <c r="E588" s="29"/>
    </row>
    <row r="589">
      <c r="A589" s="29"/>
      <c r="B589" s="29"/>
      <c r="C589" s="29"/>
      <c r="D589" s="29"/>
      <c r="E589" s="29"/>
    </row>
    <row r="590">
      <c r="A590" s="29"/>
      <c r="B590" s="29"/>
      <c r="C590" s="29"/>
      <c r="D590" s="29"/>
      <c r="E590" s="29"/>
    </row>
    <row r="591">
      <c r="A591" s="29"/>
      <c r="B591" s="29"/>
      <c r="C591" s="29"/>
      <c r="D591" s="29"/>
      <c r="E591" s="29"/>
    </row>
    <row r="592">
      <c r="A592" s="29"/>
      <c r="B592" s="29"/>
      <c r="C592" s="29"/>
      <c r="D592" s="29"/>
      <c r="E592" s="29"/>
    </row>
    <row r="593">
      <c r="A593" s="29"/>
      <c r="B593" s="29"/>
      <c r="C593" s="29"/>
      <c r="D593" s="29"/>
      <c r="E593" s="29"/>
    </row>
    <row r="594">
      <c r="A594" s="29"/>
      <c r="B594" s="29"/>
      <c r="C594" s="29"/>
      <c r="D594" s="29"/>
      <c r="E594" s="29"/>
    </row>
    <row r="595">
      <c r="A595" s="29"/>
      <c r="B595" s="29"/>
      <c r="C595" s="29"/>
      <c r="D595" s="29"/>
      <c r="E595" s="29"/>
    </row>
    <row r="596">
      <c r="A596" s="29"/>
      <c r="B596" s="29"/>
      <c r="C596" s="29"/>
      <c r="D596" s="29"/>
      <c r="E596" s="29"/>
    </row>
    <row r="597">
      <c r="A597" s="29"/>
      <c r="B597" s="29"/>
      <c r="C597" s="29"/>
      <c r="D597" s="29"/>
      <c r="E597" s="29"/>
    </row>
    <row r="598">
      <c r="A598" s="29"/>
      <c r="B598" s="29"/>
      <c r="C598" s="29"/>
      <c r="D598" s="29"/>
      <c r="E598" s="29"/>
    </row>
    <row r="599">
      <c r="A599" s="29"/>
      <c r="B599" s="29"/>
      <c r="C599" s="29"/>
      <c r="D599" s="29"/>
      <c r="E599" s="29"/>
    </row>
    <row r="600">
      <c r="A600" s="29"/>
      <c r="B600" s="29"/>
      <c r="C600" s="29"/>
      <c r="D600" s="29"/>
      <c r="E600" s="29"/>
    </row>
    <row r="601">
      <c r="A601" s="29"/>
      <c r="B601" s="29"/>
      <c r="C601" s="29"/>
      <c r="D601" s="29"/>
      <c r="E601" s="29"/>
    </row>
    <row r="602">
      <c r="A602" s="29"/>
      <c r="B602" s="29"/>
      <c r="C602" s="29"/>
      <c r="D602" s="29"/>
      <c r="E602" s="29"/>
    </row>
    <row r="603">
      <c r="A603" s="29"/>
      <c r="B603" s="29"/>
      <c r="C603" s="29"/>
      <c r="D603" s="29"/>
      <c r="E603" s="29"/>
    </row>
    <row r="604">
      <c r="A604" s="29"/>
      <c r="B604" s="29"/>
      <c r="C604" s="29"/>
      <c r="D604" s="29"/>
      <c r="E604" s="29"/>
    </row>
    <row r="605">
      <c r="A605" s="29"/>
      <c r="B605" s="29"/>
      <c r="C605" s="29"/>
      <c r="D605" s="29"/>
      <c r="E605" s="29"/>
    </row>
    <row r="606">
      <c r="A606" s="29"/>
      <c r="B606" s="29"/>
      <c r="C606" s="29"/>
      <c r="D606" s="29"/>
      <c r="E606" s="29"/>
    </row>
    <row r="607">
      <c r="A607" s="29"/>
      <c r="B607" s="29"/>
      <c r="C607" s="29"/>
      <c r="D607" s="29"/>
      <c r="E607" s="29"/>
    </row>
    <row r="608">
      <c r="A608" s="29"/>
      <c r="B608" s="29"/>
      <c r="C608" s="29"/>
      <c r="D608" s="29"/>
      <c r="E608" s="29"/>
    </row>
    <row r="609">
      <c r="A609" s="29"/>
      <c r="B609" s="29"/>
      <c r="C609" s="29"/>
      <c r="D609" s="29"/>
      <c r="E609" s="29"/>
    </row>
    <row r="610">
      <c r="A610" s="29"/>
      <c r="B610" s="29"/>
      <c r="C610" s="29"/>
      <c r="D610" s="29"/>
      <c r="E610" s="29"/>
    </row>
    <row r="611">
      <c r="A611" s="29"/>
      <c r="B611" s="29"/>
      <c r="C611" s="29"/>
      <c r="D611" s="29"/>
      <c r="E611" s="29"/>
    </row>
    <row r="612">
      <c r="A612" s="29"/>
      <c r="B612" s="29"/>
      <c r="C612" s="29"/>
      <c r="D612" s="29"/>
      <c r="E612" s="29"/>
    </row>
    <row r="613">
      <c r="A613" s="29"/>
      <c r="B613" s="29"/>
      <c r="C613" s="29"/>
      <c r="D613" s="29"/>
      <c r="E613" s="29"/>
    </row>
    <row r="614">
      <c r="A614" s="29"/>
      <c r="B614" s="29"/>
      <c r="C614" s="29"/>
      <c r="D614" s="29"/>
      <c r="E614" s="29"/>
    </row>
    <row r="615">
      <c r="A615" s="29"/>
      <c r="B615" s="29"/>
      <c r="C615" s="29"/>
      <c r="D615" s="29"/>
      <c r="E615" s="29"/>
    </row>
    <row r="616">
      <c r="A616" s="29"/>
      <c r="B616" s="29"/>
      <c r="C616" s="29"/>
      <c r="D616" s="29"/>
      <c r="E616" s="29"/>
    </row>
    <row r="617">
      <c r="A617" s="29"/>
      <c r="B617" s="29"/>
      <c r="C617" s="29"/>
      <c r="D617" s="29"/>
      <c r="E617" s="29"/>
    </row>
    <row r="618">
      <c r="A618" s="29"/>
      <c r="B618" s="29"/>
      <c r="C618" s="29"/>
      <c r="D618" s="29"/>
      <c r="E618" s="29"/>
    </row>
    <row r="619">
      <c r="A619" s="29"/>
      <c r="B619" s="29"/>
      <c r="C619" s="29"/>
      <c r="D619" s="29"/>
      <c r="E619" s="29"/>
    </row>
    <row r="620">
      <c r="A620" s="29"/>
      <c r="B620" s="29"/>
      <c r="C620" s="29"/>
      <c r="D620" s="29"/>
      <c r="E620" s="29"/>
    </row>
    <row r="621">
      <c r="A621" s="29"/>
      <c r="B621" s="29"/>
      <c r="C621" s="29"/>
      <c r="D621" s="29"/>
      <c r="E621" s="29"/>
    </row>
    <row r="622">
      <c r="A622" s="29"/>
      <c r="B622" s="29"/>
      <c r="C622" s="29"/>
      <c r="D622" s="29"/>
      <c r="E622" s="29"/>
    </row>
    <row r="623">
      <c r="A623" s="29"/>
      <c r="B623" s="29"/>
      <c r="C623" s="29"/>
      <c r="D623" s="29"/>
      <c r="E623" s="29"/>
    </row>
    <row r="624">
      <c r="A624" s="29"/>
      <c r="B624" s="29"/>
      <c r="C624" s="29"/>
      <c r="D624" s="29"/>
      <c r="E624" s="29"/>
    </row>
    <row r="625">
      <c r="A625" s="29"/>
      <c r="B625" s="29"/>
      <c r="C625" s="29"/>
      <c r="D625" s="29"/>
      <c r="E625" s="29"/>
    </row>
    <row r="626">
      <c r="A626" s="29"/>
      <c r="B626" s="29"/>
      <c r="C626" s="29"/>
      <c r="D626" s="29"/>
      <c r="E626" s="29"/>
    </row>
    <row r="627">
      <c r="A627" s="29"/>
      <c r="B627" s="29"/>
      <c r="C627" s="29"/>
      <c r="D627" s="29"/>
      <c r="E627" s="29"/>
    </row>
    <row r="628">
      <c r="A628" s="29"/>
      <c r="B628" s="29"/>
      <c r="C628" s="29"/>
      <c r="D628" s="29"/>
      <c r="E628" s="29"/>
    </row>
    <row r="629">
      <c r="A629" s="29"/>
      <c r="B629" s="29"/>
      <c r="C629" s="29"/>
      <c r="D629" s="29"/>
      <c r="E629" s="29"/>
    </row>
    <row r="630">
      <c r="A630" s="29"/>
      <c r="B630" s="29"/>
      <c r="C630" s="29"/>
      <c r="D630" s="29"/>
      <c r="E630" s="29"/>
    </row>
    <row r="631">
      <c r="A631" s="29"/>
      <c r="B631" s="29"/>
      <c r="C631" s="29"/>
      <c r="D631" s="29"/>
      <c r="E631" s="29"/>
    </row>
    <row r="632">
      <c r="A632" s="29"/>
      <c r="B632" s="29"/>
      <c r="C632" s="29"/>
      <c r="D632" s="29"/>
      <c r="E632" s="29"/>
    </row>
    <row r="633">
      <c r="A633" s="29"/>
      <c r="B633" s="29"/>
      <c r="C633" s="29"/>
      <c r="D633" s="29"/>
      <c r="E633" s="29"/>
    </row>
    <row r="634">
      <c r="A634" s="29"/>
      <c r="B634" s="29"/>
      <c r="C634" s="29"/>
      <c r="D634" s="29"/>
      <c r="E634" s="29"/>
    </row>
    <row r="635">
      <c r="A635" s="29"/>
      <c r="B635" s="29"/>
      <c r="C635" s="29"/>
      <c r="D635" s="29"/>
      <c r="E635" s="29"/>
    </row>
    <row r="636">
      <c r="A636" s="29"/>
      <c r="B636" s="29"/>
      <c r="C636" s="29"/>
      <c r="D636" s="29"/>
      <c r="E636" s="29"/>
    </row>
    <row r="637">
      <c r="A637" s="29"/>
      <c r="B637" s="29"/>
      <c r="C637" s="29"/>
      <c r="D637" s="29"/>
      <c r="E637" s="29"/>
    </row>
    <row r="638">
      <c r="A638" s="29"/>
      <c r="B638" s="29"/>
      <c r="C638" s="29"/>
      <c r="D638" s="29"/>
      <c r="E638" s="29"/>
    </row>
    <row r="639">
      <c r="A639" s="29"/>
      <c r="B639" s="29"/>
      <c r="C639" s="29"/>
      <c r="D639" s="29"/>
      <c r="E639" s="29"/>
    </row>
    <row r="640">
      <c r="A640" s="29"/>
      <c r="B640" s="29"/>
      <c r="C640" s="29"/>
      <c r="D640" s="29"/>
      <c r="E640" s="29"/>
    </row>
    <row r="641">
      <c r="A641" s="29"/>
      <c r="B641" s="29"/>
      <c r="C641" s="29"/>
      <c r="D641" s="29"/>
      <c r="E641" s="29"/>
    </row>
    <row r="642">
      <c r="A642" s="29"/>
      <c r="B642" s="29"/>
      <c r="C642" s="29"/>
      <c r="D642" s="29"/>
      <c r="E642" s="29"/>
    </row>
    <row r="643">
      <c r="A643" s="29"/>
      <c r="B643" s="29"/>
      <c r="C643" s="29"/>
      <c r="D643" s="29"/>
      <c r="E643" s="29"/>
    </row>
    <row r="644">
      <c r="A644" s="29"/>
      <c r="B644" s="29"/>
      <c r="C644" s="29"/>
      <c r="D644" s="29"/>
      <c r="E644" s="29"/>
    </row>
    <row r="645">
      <c r="A645" s="29"/>
      <c r="B645" s="29"/>
      <c r="C645" s="29"/>
      <c r="D645" s="29"/>
      <c r="E645" s="29"/>
    </row>
    <row r="646">
      <c r="A646" s="29"/>
      <c r="B646" s="29"/>
      <c r="C646" s="29"/>
      <c r="D646" s="29"/>
      <c r="E646" s="29"/>
    </row>
    <row r="647">
      <c r="A647" s="29"/>
      <c r="B647" s="29"/>
      <c r="C647" s="29"/>
      <c r="D647" s="29"/>
      <c r="E647" s="29"/>
    </row>
    <row r="648">
      <c r="A648" s="29"/>
      <c r="B648" s="29"/>
      <c r="C648" s="29"/>
      <c r="D648" s="29"/>
      <c r="E648" s="29"/>
    </row>
    <row r="649">
      <c r="A649" s="29"/>
      <c r="B649" s="29"/>
      <c r="C649" s="29"/>
      <c r="D649" s="29"/>
      <c r="E649" s="29"/>
    </row>
    <row r="650">
      <c r="A650" s="29"/>
      <c r="B650" s="29"/>
      <c r="C650" s="29"/>
      <c r="D650" s="29"/>
      <c r="E650" s="29"/>
    </row>
    <row r="651">
      <c r="A651" s="29"/>
      <c r="B651" s="29"/>
      <c r="C651" s="29"/>
      <c r="D651" s="29"/>
      <c r="E651" s="29"/>
    </row>
    <row r="652">
      <c r="A652" s="29"/>
      <c r="B652" s="29"/>
      <c r="C652" s="29"/>
      <c r="D652" s="29"/>
      <c r="E652" s="29"/>
    </row>
    <row r="653">
      <c r="A653" s="29"/>
      <c r="B653" s="29"/>
      <c r="C653" s="29"/>
      <c r="D653" s="29"/>
      <c r="E653" s="29"/>
    </row>
    <row r="654">
      <c r="A654" s="29"/>
      <c r="B654" s="29"/>
      <c r="C654" s="29"/>
      <c r="D654" s="29"/>
      <c r="E654" s="29"/>
    </row>
    <row r="655">
      <c r="A655" s="29"/>
      <c r="B655" s="29"/>
      <c r="C655" s="29"/>
      <c r="D655" s="29"/>
      <c r="E655" s="29"/>
    </row>
    <row r="656">
      <c r="A656" s="29"/>
      <c r="B656" s="29"/>
      <c r="C656" s="29"/>
      <c r="D656" s="29"/>
      <c r="E656" s="29"/>
    </row>
    <row r="657">
      <c r="A657" s="29"/>
      <c r="B657" s="29"/>
      <c r="C657" s="29"/>
      <c r="D657" s="29"/>
      <c r="E657" s="29"/>
    </row>
    <row r="658">
      <c r="A658" s="29"/>
      <c r="B658" s="29"/>
      <c r="C658" s="29"/>
      <c r="D658" s="29"/>
      <c r="E658" s="29"/>
    </row>
    <row r="659">
      <c r="A659" s="29"/>
      <c r="B659" s="29"/>
      <c r="C659" s="29"/>
      <c r="D659" s="29"/>
      <c r="E659" s="29"/>
    </row>
    <row r="660">
      <c r="A660" s="29"/>
      <c r="B660" s="29"/>
      <c r="C660" s="29"/>
      <c r="D660" s="29"/>
      <c r="E660" s="29"/>
    </row>
    <row r="661">
      <c r="A661" s="29"/>
      <c r="B661" s="29"/>
      <c r="C661" s="29"/>
      <c r="D661" s="29"/>
      <c r="E661" s="29"/>
    </row>
    <row r="662">
      <c r="A662" s="29"/>
      <c r="B662" s="29"/>
      <c r="C662" s="29"/>
      <c r="D662" s="29"/>
      <c r="E662" s="29"/>
    </row>
    <row r="663">
      <c r="A663" s="29"/>
      <c r="B663" s="29"/>
      <c r="C663" s="29"/>
      <c r="D663" s="29"/>
      <c r="E663" s="29"/>
    </row>
    <row r="664">
      <c r="A664" s="29"/>
      <c r="B664" s="29"/>
      <c r="C664" s="29"/>
      <c r="D664" s="29"/>
      <c r="E664" s="29"/>
    </row>
    <row r="665">
      <c r="A665" s="29"/>
      <c r="B665" s="29"/>
      <c r="C665" s="29"/>
      <c r="D665" s="29"/>
      <c r="E665" s="29"/>
    </row>
    <row r="666">
      <c r="A666" s="29"/>
      <c r="B666" s="29"/>
      <c r="C666" s="29"/>
      <c r="D666" s="29"/>
      <c r="E666" s="29"/>
    </row>
    <row r="667">
      <c r="A667" s="29"/>
      <c r="B667" s="29"/>
      <c r="C667" s="29"/>
      <c r="D667" s="29"/>
      <c r="E667" s="29"/>
    </row>
    <row r="668">
      <c r="A668" s="29"/>
      <c r="B668" s="29"/>
      <c r="C668" s="29"/>
      <c r="D668" s="29"/>
      <c r="E668" s="29"/>
    </row>
    <row r="669">
      <c r="A669" s="29"/>
      <c r="B669" s="29"/>
      <c r="C669" s="29"/>
      <c r="D669" s="29"/>
      <c r="E669" s="29"/>
    </row>
    <row r="670">
      <c r="A670" s="29"/>
      <c r="B670" s="29"/>
      <c r="C670" s="29"/>
      <c r="D670" s="29"/>
      <c r="E670" s="29"/>
    </row>
    <row r="671">
      <c r="A671" s="29"/>
      <c r="B671" s="29"/>
      <c r="C671" s="29"/>
      <c r="D671" s="29"/>
      <c r="E671" s="29"/>
    </row>
    <row r="672">
      <c r="A672" s="29"/>
      <c r="B672" s="29"/>
      <c r="C672" s="29"/>
      <c r="D672" s="29"/>
      <c r="E672" s="29"/>
    </row>
    <row r="673">
      <c r="A673" s="29"/>
      <c r="B673" s="29"/>
      <c r="C673" s="29"/>
      <c r="D673" s="29"/>
      <c r="E673" s="29"/>
    </row>
    <row r="674">
      <c r="A674" s="29"/>
      <c r="B674" s="29"/>
      <c r="C674" s="29"/>
      <c r="D674" s="29"/>
      <c r="E674" s="29"/>
    </row>
    <row r="675">
      <c r="A675" s="29"/>
      <c r="B675" s="29"/>
      <c r="C675" s="29"/>
      <c r="D675" s="29"/>
      <c r="E675" s="29"/>
    </row>
    <row r="676">
      <c r="A676" s="29"/>
      <c r="B676" s="29"/>
      <c r="C676" s="29"/>
      <c r="D676" s="29"/>
      <c r="E676" s="29"/>
    </row>
    <row r="677">
      <c r="A677" s="29"/>
      <c r="B677" s="29"/>
      <c r="C677" s="29"/>
      <c r="D677" s="29"/>
      <c r="E677" s="29"/>
    </row>
    <row r="678">
      <c r="A678" s="29"/>
      <c r="B678" s="29"/>
      <c r="C678" s="29"/>
      <c r="D678" s="29"/>
      <c r="E678" s="29"/>
    </row>
    <row r="679">
      <c r="A679" s="29"/>
      <c r="B679" s="29"/>
      <c r="C679" s="29"/>
      <c r="D679" s="29"/>
      <c r="E679" s="29"/>
    </row>
    <row r="680">
      <c r="A680" s="29"/>
      <c r="B680" s="29"/>
      <c r="C680" s="29"/>
      <c r="D680" s="29"/>
      <c r="E680" s="29"/>
    </row>
    <row r="681">
      <c r="A681" s="29"/>
      <c r="B681" s="29"/>
      <c r="C681" s="29"/>
      <c r="D681" s="29"/>
      <c r="E681" s="29"/>
    </row>
    <row r="682">
      <c r="A682" s="29"/>
      <c r="B682" s="29"/>
      <c r="C682" s="29"/>
      <c r="D682" s="29"/>
      <c r="E682" s="29"/>
    </row>
    <row r="683">
      <c r="A683" s="29"/>
      <c r="B683" s="29"/>
      <c r="C683" s="29"/>
      <c r="D683" s="29"/>
      <c r="E683" s="29"/>
    </row>
    <row r="684">
      <c r="A684" s="29"/>
      <c r="B684" s="29"/>
      <c r="C684" s="29"/>
      <c r="D684" s="29"/>
      <c r="E684" s="29"/>
    </row>
    <row r="685">
      <c r="A685" s="29"/>
      <c r="B685" s="29"/>
      <c r="C685" s="29"/>
      <c r="D685" s="29"/>
      <c r="E685" s="29"/>
    </row>
    <row r="686">
      <c r="A686" s="29"/>
      <c r="B686" s="29"/>
      <c r="C686" s="29"/>
      <c r="D686" s="29"/>
      <c r="E686" s="29"/>
    </row>
    <row r="687">
      <c r="A687" s="29"/>
      <c r="B687" s="29"/>
      <c r="C687" s="29"/>
      <c r="D687" s="29"/>
      <c r="E687" s="29"/>
    </row>
    <row r="688">
      <c r="A688" s="29"/>
      <c r="B688" s="29"/>
      <c r="C688" s="29"/>
      <c r="D688" s="29"/>
      <c r="E688" s="29"/>
    </row>
    <row r="689">
      <c r="A689" s="29"/>
      <c r="B689" s="29"/>
      <c r="C689" s="29"/>
      <c r="D689" s="29"/>
      <c r="E689" s="29"/>
    </row>
    <row r="690">
      <c r="A690" s="29"/>
      <c r="B690" s="29"/>
      <c r="C690" s="29"/>
      <c r="D690" s="29"/>
      <c r="E690" s="29"/>
    </row>
    <row r="691">
      <c r="A691" s="29"/>
      <c r="B691" s="29"/>
      <c r="C691" s="29"/>
      <c r="D691" s="29"/>
      <c r="E691" s="29"/>
    </row>
    <row r="692">
      <c r="A692" s="29"/>
      <c r="B692" s="29"/>
      <c r="C692" s="29"/>
      <c r="D692" s="29"/>
      <c r="E692" s="29"/>
    </row>
    <row r="693">
      <c r="A693" s="29"/>
      <c r="B693" s="29"/>
      <c r="C693" s="29"/>
      <c r="D693" s="29"/>
      <c r="E693" s="29"/>
    </row>
    <row r="694">
      <c r="A694" s="29"/>
      <c r="B694" s="29"/>
      <c r="C694" s="29"/>
      <c r="D694" s="29"/>
      <c r="E694" s="29"/>
    </row>
    <row r="695">
      <c r="A695" s="29"/>
      <c r="B695" s="29"/>
      <c r="C695" s="29"/>
      <c r="D695" s="29"/>
      <c r="E695" s="29"/>
    </row>
    <row r="696">
      <c r="A696" s="29"/>
      <c r="B696" s="29"/>
      <c r="C696" s="29"/>
      <c r="D696" s="29"/>
      <c r="E696" s="29"/>
    </row>
    <row r="697">
      <c r="A697" s="29"/>
      <c r="B697" s="29"/>
      <c r="C697" s="29"/>
      <c r="D697" s="29"/>
      <c r="E697" s="29"/>
    </row>
    <row r="698">
      <c r="A698" s="29"/>
      <c r="B698" s="29"/>
      <c r="C698" s="29"/>
      <c r="D698" s="29"/>
      <c r="E698" s="29"/>
    </row>
    <row r="699">
      <c r="A699" s="29"/>
      <c r="B699" s="29"/>
      <c r="C699" s="29"/>
      <c r="D699" s="29"/>
      <c r="E699" s="29"/>
    </row>
    <row r="700">
      <c r="A700" s="29"/>
      <c r="B700" s="29"/>
      <c r="C700" s="29"/>
      <c r="D700" s="29"/>
      <c r="E700" s="29"/>
    </row>
    <row r="701">
      <c r="A701" s="29"/>
      <c r="B701" s="29"/>
      <c r="C701" s="29"/>
      <c r="D701" s="29"/>
      <c r="E701" s="29"/>
    </row>
    <row r="702">
      <c r="A702" s="29"/>
      <c r="B702" s="29"/>
      <c r="C702" s="29"/>
      <c r="D702" s="29"/>
      <c r="E702" s="29"/>
    </row>
    <row r="703">
      <c r="A703" s="29"/>
      <c r="B703" s="29"/>
      <c r="C703" s="29"/>
      <c r="D703" s="29"/>
      <c r="E703" s="29"/>
    </row>
    <row r="704">
      <c r="A704" s="29"/>
      <c r="B704" s="29"/>
      <c r="C704" s="29"/>
      <c r="D704" s="29"/>
      <c r="E704" s="29"/>
    </row>
    <row r="705">
      <c r="A705" s="29"/>
      <c r="B705" s="29"/>
      <c r="C705" s="29"/>
      <c r="D705" s="29"/>
      <c r="E705" s="29"/>
    </row>
    <row r="706">
      <c r="A706" s="29"/>
      <c r="B706" s="29"/>
      <c r="C706" s="29"/>
      <c r="D706" s="29"/>
      <c r="E706" s="29"/>
    </row>
    <row r="707">
      <c r="A707" s="29"/>
      <c r="B707" s="29"/>
      <c r="C707" s="29"/>
      <c r="D707" s="29"/>
      <c r="E707" s="29"/>
    </row>
    <row r="708">
      <c r="A708" s="29"/>
      <c r="B708" s="29"/>
      <c r="C708" s="29"/>
      <c r="D708" s="29"/>
      <c r="E708" s="29"/>
    </row>
    <row r="709">
      <c r="A709" s="29"/>
      <c r="B709" s="29"/>
      <c r="C709" s="29"/>
      <c r="D709" s="29"/>
      <c r="E709" s="29"/>
    </row>
    <row r="710">
      <c r="A710" s="29"/>
      <c r="B710" s="29"/>
      <c r="C710" s="29"/>
      <c r="D710" s="29"/>
      <c r="E710" s="29"/>
    </row>
    <row r="711">
      <c r="A711" s="29"/>
      <c r="B711" s="29"/>
      <c r="C711" s="29"/>
      <c r="D711" s="29"/>
      <c r="E711" s="29"/>
    </row>
    <row r="712">
      <c r="A712" s="29"/>
      <c r="B712" s="29"/>
      <c r="C712" s="29"/>
      <c r="D712" s="29"/>
      <c r="E712" s="29"/>
    </row>
    <row r="713">
      <c r="A713" s="29"/>
      <c r="B713" s="29"/>
      <c r="C713" s="29"/>
      <c r="D713" s="29"/>
      <c r="E713" s="29"/>
    </row>
    <row r="714">
      <c r="A714" s="29"/>
      <c r="B714" s="29"/>
      <c r="C714" s="29"/>
      <c r="D714" s="29"/>
      <c r="E714" s="29"/>
    </row>
    <row r="715">
      <c r="A715" s="29"/>
      <c r="B715" s="29"/>
      <c r="C715" s="29"/>
      <c r="D715" s="29"/>
      <c r="E715" s="29"/>
    </row>
    <row r="716">
      <c r="A716" s="29"/>
      <c r="B716" s="29"/>
      <c r="C716" s="29"/>
      <c r="D716" s="29"/>
      <c r="E716" s="29"/>
    </row>
    <row r="717">
      <c r="A717" s="29"/>
      <c r="B717" s="29"/>
      <c r="C717" s="29"/>
      <c r="D717" s="29"/>
      <c r="E717" s="29"/>
    </row>
    <row r="718">
      <c r="A718" s="29"/>
      <c r="B718" s="29"/>
      <c r="C718" s="29"/>
      <c r="D718" s="29"/>
      <c r="E718" s="29"/>
    </row>
    <row r="719">
      <c r="A719" s="29"/>
      <c r="B719" s="29"/>
      <c r="C719" s="29"/>
      <c r="D719" s="29"/>
      <c r="E719" s="29"/>
    </row>
    <row r="720">
      <c r="A720" s="29"/>
      <c r="B720" s="29"/>
      <c r="C720" s="29"/>
      <c r="D720" s="29"/>
      <c r="E720" s="29"/>
    </row>
    <row r="721">
      <c r="A721" s="29"/>
      <c r="B721" s="29"/>
      <c r="C721" s="29"/>
      <c r="D721" s="29"/>
      <c r="E721" s="29"/>
    </row>
    <row r="722">
      <c r="A722" s="29"/>
      <c r="B722" s="29"/>
      <c r="C722" s="29"/>
      <c r="D722" s="29"/>
      <c r="E722" s="29"/>
    </row>
    <row r="723">
      <c r="A723" s="29"/>
      <c r="B723" s="29"/>
      <c r="C723" s="29"/>
      <c r="D723" s="29"/>
      <c r="E723" s="29"/>
    </row>
    <row r="724">
      <c r="A724" s="29"/>
      <c r="B724" s="29"/>
      <c r="C724" s="29"/>
      <c r="D724" s="29"/>
      <c r="E724" s="29"/>
    </row>
    <row r="725">
      <c r="A725" s="29"/>
      <c r="B725" s="29"/>
      <c r="C725" s="29"/>
      <c r="D725" s="29"/>
      <c r="E725" s="29"/>
    </row>
    <row r="726">
      <c r="A726" s="29"/>
      <c r="B726" s="29"/>
      <c r="C726" s="29"/>
      <c r="D726" s="29"/>
      <c r="E726" s="29"/>
    </row>
    <row r="727">
      <c r="A727" s="29"/>
      <c r="B727" s="29"/>
      <c r="C727" s="29"/>
      <c r="D727" s="29"/>
      <c r="E727" s="29"/>
    </row>
    <row r="728">
      <c r="A728" s="29"/>
      <c r="B728" s="29"/>
      <c r="C728" s="29"/>
      <c r="D728" s="29"/>
      <c r="E728" s="29"/>
    </row>
    <row r="729">
      <c r="A729" s="29"/>
      <c r="B729" s="29"/>
      <c r="C729" s="29"/>
      <c r="D729" s="29"/>
      <c r="E729" s="29"/>
    </row>
    <row r="730">
      <c r="A730" s="29"/>
      <c r="B730" s="29"/>
      <c r="C730" s="29"/>
      <c r="D730" s="29"/>
      <c r="E730" s="29"/>
    </row>
    <row r="731">
      <c r="A731" s="29"/>
      <c r="B731" s="29"/>
      <c r="C731" s="29"/>
      <c r="D731" s="29"/>
      <c r="E731" s="29"/>
    </row>
    <row r="732">
      <c r="A732" s="29"/>
      <c r="B732" s="29"/>
      <c r="C732" s="29"/>
      <c r="D732" s="29"/>
      <c r="E732" s="29"/>
    </row>
    <row r="733">
      <c r="A733" s="29"/>
      <c r="B733" s="29"/>
      <c r="C733" s="29"/>
      <c r="D733" s="29"/>
      <c r="E733" s="29"/>
    </row>
    <row r="734">
      <c r="A734" s="29"/>
      <c r="B734" s="29"/>
      <c r="C734" s="29"/>
      <c r="D734" s="29"/>
      <c r="E734" s="29"/>
    </row>
    <row r="735">
      <c r="A735" s="29"/>
      <c r="B735" s="29"/>
      <c r="C735" s="29"/>
      <c r="D735" s="29"/>
      <c r="E735" s="29"/>
    </row>
    <row r="736">
      <c r="A736" s="29"/>
      <c r="B736" s="29"/>
      <c r="C736" s="29"/>
      <c r="D736" s="29"/>
      <c r="E736" s="29"/>
    </row>
    <row r="737">
      <c r="A737" s="29"/>
      <c r="B737" s="29"/>
      <c r="C737" s="29"/>
      <c r="D737" s="29"/>
      <c r="E737" s="29"/>
    </row>
    <row r="738">
      <c r="A738" s="29"/>
      <c r="B738" s="29"/>
      <c r="C738" s="29"/>
      <c r="D738" s="29"/>
      <c r="E738" s="29"/>
    </row>
    <row r="739">
      <c r="A739" s="29"/>
      <c r="B739" s="29"/>
      <c r="C739" s="29"/>
      <c r="D739" s="29"/>
      <c r="E739" s="29"/>
    </row>
    <row r="740">
      <c r="A740" s="29"/>
      <c r="B740" s="29"/>
      <c r="C740" s="29"/>
      <c r="D740" s="29"/>
      <c r="E740" s="29"/>
    </row>
    <row r="741">
      <c r="A741" s="29"/>
      <c r="B741" s="29"/>
      <c r="C741" s="29"/>
      <c r="D741" s="29"/>
      <c r="E741" s="29"/>
    </row>
    <row r="742">
      <c r="A742" s="29"/>
      <c r="B742" s="29"/>
      <c r="C742" s="29"/>
      <c r="D742" s="29"/>
      <c r="E742" s="29"/>
    </row>
    <row r="743">
      <c r="A743" s="29"/>
      <c r="B743" s="29"/>
      <c r="C743" s="29"/>
      <c r="D743" s="29"/>
      <c r="E743" s="29"/>
    </row>
    <row r="744">
      <c r="A744" s="29"/>
      <c r="B744" s="29"/>
      <c r="C744" s="29"/>
      <c r="D744" s="29"/>
      <c r="E744" s="29"/>
    </row>
    <row r="745">
      <c r="A745" s="29"/>
      <c r="B745" s="29"/>
      <c r="C745" s="29"/>
      <c r="D745" s="29"/>
      <c r="E745" s="29"/>
    </row>
    <row r="746">
      <c r="A746" s="29"/>
      <c r="B746" s="29"/>
      <c r="C746" s="29"/>
      <c r="D746" s="29"/>
      <c r="E746" s="29"/>
    </row>
    <row r="747">
      <c r="A747" s="29"/>
      <c r="B747" s="29"/>
      <c r="C747" s="29"/>
      <c r="D747" s="29"/>
      <c r="E747" s="29"/>
    </row>
    <row r="748">
      <c r="A748" s="29"/>
      <c r="B748" s="29"/>
      <c r="C748" s="29"/>
      <c r="D748" s="29"/>
      <c r="E748" s="29"/>
    </row>
    <row r="749">
      <c r="A749" s="29"/>
      <c r="B749" s="29"/>
      <c r="C749" s="29"/>
      <c r="D749" s="29"/>
      <c r="E749" s="29"/>
    </row>
    <row r="750">
      <c r="A750" s="29"/>
      <c r="B750" s="29"/>
      <c r="C750" s="29"/>
      <c r="D750" s="29"/>
      <c r="E750" s="29"/>
    </row>
    <row r="751">
      <c r="A751" s="29"/>
      <c r="B751" s="29"/>
      <c r="C751" s="29"/>
      <c r="D751" s="29"/>
      <c r="E751" s="29"/>
    </row>
    <row r="752">
      <c r="A752" s="29"/>
      <c r="B752" s="29"/>
      <c r="C752" s="29"/>
      <c r="D752" s="29"/>
      <c r="E752" s="29"/>
    </row>
    <row r="753">
      <c r="A753" s="29"/>
      <c r="B753" s="29"/>
      <c r="C753" s="29"/>
      <c r="D753" s="29"/>
      <c r="E753" s="29"/>
    </row>
    <row r="754">
      <c r="A754" s="29"/>
      <c r="B754" s="29"/>
      <c r="C754" s="29"/>
      <c r="D754" s="29"/>
      <c r="E754" s="29"/>
    </row>
    <row r="755">
      <c r="A755" s="29"/>
      <c r="B755" s="29"/>
      <c r="C755" s="29"/>
      <c r="D755" s="29"/>
      <c r="E755" s="29"/>
    </row>
    <row r="756">
      <c r="A756" s="29"/>
      <c r="B756" s="29"/>
      <c r="C756" s="29"/>
      <c r="D756" s="29"/>
      <c r="E756" s="29"/>
    </row>
    <row r="757">
      <c r="A757" s="29"/>
      <c r="B757" s="29"/>
      <c r="C757" s="29"/>
      <c r="D757" s="29"/>
      <c r="E757" s="29"/>
    </row>
    <row r="758">
      <c r="A758" s="29"/>
      <c r="B758" s="29"/>
      <c r="C758" s="29"/>
      <c r="D758" s="29"/>
      <c r="E758" s="29"/>
    </row>
    <row r="759">
      <c r="A759" s="29"/>
      <c r="B759" s="29"/>
      <c r="C759" s="29"/>
      <c r="D759" s="29"/>
      <c r="E759" s="29"/>
    </row>
    <row r="760">
      <c r="A760" s="29"/>
      <c r="B760" s="29"/>
      <c r="C760" s="29"/>
      <c r="D760" s="29"/>
      <c r="E760" s="29"/>
    </row>
    <row r="761">
      <c r="A761" s="29"/>
      <c r="B761" s="29"/>
      <c r="C761" s="29"/>
      <c r="D761" s="29"/>
      <c r="E761" s="29"/>
    </row>
    <row r="762">
      <c r="A762" s="29"/>
      <c r="B762" s="29"/>
      <c r="C762" s="29"/>
      <c r="D762" s="29"/>
      <c r="E762" s="29"/>
    </row>
    <row r="763">
      <c r="A763" s="29"/>
      <c r="B763" s="29"/>
      <c r="C763" s="29"/>
      <c r="D763" s="29"/>
      <c r="E763" s="29"/>
    </row>
    <row r="764">
      <c r="A764" s="29"/>
      <c r="B764" s="29"/>
      <c r="C764" s="29"/>
      <c r="D764" s="29"/>
      <c r="E764" s="29"/>
    </row>
    <row r="765">
      <c r="A765" s="29"/>
      <c r="B765" s="29"/>
      <c r="C765" s="29"/>
      <c r="D765" s="29"/>
      <c r="E765" s="29"/>
    </row>
    <row r="766">
      <c r="A766" s="29"/>
      <c r="B766" s="29"/>
      <c r="C766" s="29"/>
      <c r="D766" s="29"/>
      <c r="E766" s="29"/>
    </row>
    <row r="767">
      <c r="A767" s="29"/>
      <c r="B767" s="29"/>
      <c r="C767" s="29"/>
      <c r="D767" s="29"/>
      <c r="E767" s="29"/>
    </row>
    <row r="768">
      <c r="A768" s="29"/>
      <c r="B768" s="29"/>
      <c r="C768" s="29"/>
      <c r="D768" s="29"/>
      <c r="E768" s="29"/>
    </row>
    <row r="769">
      <c r="A769" s="29"/>
      <c r="B769" s="29"/>
      <c r="C769" s="29"/>
      <c r="D769" s="29"/>
      <c r="E769" s="29"/>
    </row>
    <row r="770">
      <c r="A770" s="29"/>
      <c r="B770" s="29"/>
      <c r="C770" s="29"/>
      <c r="D770" s="29"/>
      <c r="E770" s="29"/>
    </row>
    <row r="771">
      <c r="A771" s="29"/>
      <c r="B771" s="29"/>
      <c r="C771" s="29"/>
      <c r="D771" s="29"/>
      <c r="E771" s="29"/>
    </row>
    <row r="772">
      <c r="A772" s="29"/>
      <c r="B772" s="29"/>
      <c r="C772" s="29"/>
      <c r="D772" s="29"/>
      <c r="E772" s="29"/>
    </row>
    <row r="773">
      <c r="A773" s="29"/>
      <c r="B773" s="29"/>
      <c r="C773" s="29"/>
      <c r="D773" s="29"/>
      <c r="E773" s="29"/>
    </row>
    <row r="774">
      <c r="A774" s="29"/>
      <c r="B774" s="29"/>
      <c r="C774" s="29"/>
      <c r="D774" s="29"/>
      <c r="E774" s="29"/>
    </row>
    <row r="775">
      <c r="A775" s="29"/>
      <c r="B775" s="29"/>
      <c r="C775" s="29"/>
      <c r="D775" s="29"/>
      <c r="E775" s="29"/>
    </row>
    <row r="776">
      <c r="A776" s="29"/>
      <c r="B776" s="29"/>
      <c r="C776" s="29"/>
      <c r="D776" s="29"/>
      <c r="E776" s="29"/>
    </row>
    <row r="777">
      <c r="A777" s="29"/>
      <c r="B777" s="29"/>
      <c r="C777" s="29"/>
      <c r="D777" s="29"/>
      <c r="E777" s="29"/>
    </row>
    <row r="778">
      <c r="A778" s="29"/>
      <c r="B778" s="29"/>
      <c r="C778" s="29"/>
      <c r="D778" s="29"/>
      <c r="E778" s="29"/>
    </row>
    <row r="779">
      <c r="A779" s="29"/>
      <c r="B779" s="29"/>
      <c r="C779" s="29"/>
      <c r="D779" s="29"/>
      <c r="E779" s="29"/>
    </row>
    <row r="780">
      <c r="A780" s="29"/>
      <c r="B780" s="29"/>
      <c r="C780" s="29"/>
      <c r="D780" s="29"/>
      <c r="E780" s="29"/>
    </row>
    <row r="781">
      <c r="A781" s="29"/>
      <c r="B781" s="29"/>
      <c r="C781" s="29"/>
      <c r="D781" s="29"/>
      <c r="E781" s="29"/>
    </row>
    <row r="782">
      <c r="A782" s="29"/>
      <c r="B782" s="29"/>
      <c r="C782" s="29"/>
      <c r="D782" s="29"/>
      <c r="E782" s="29"/>
    </row>
    <row r="783">
      <c r="A783" s="29"/>
      <c r="B783" s="29"/>
      <c r="C783" s="29"/>
      <c r="D783" s="29"/>
      <c r="E783" s="29"/>
    </row>
    <row r="784">
      <c r="A784" s="29"/>
      <c r="B784" s="29"/>
      <c r="C784" s="29"/>
      <c r="D784" s="29"/>
      <c r="E784" s="29"/>
    </row>
    <row r="785">
      <c r="A785" s="29"/>
      <c r="B785" s="29"/>
      <c r="C785" s="29"/>
      <c r="D785" s="29"/>
      <c r="E785" s="29"/>
    </row>
    <row r="786">
      <c r="A786" s="29"/>
      <c r="B786" s="29"/>
      <c r="C786" s="29"/>
      <c r="D786" s="29"/>
      <c r="E786" s="29"/>
    </row>
    <row r="787">
      <c r="A787" s="29"/>
      <c r="B787" s="29"/>
      <c r="C787" s="29"/>
      <c r="D787" s="29"/>
      <c r="E787" s="29"/>
    </row>
    <row r="788">
      <c r="A788" s="29"/>
      <c r="B788" s="29"/>
      <c r="C788" s="29"/>
      <c r="D788" s="29"/>
      <c r="E788" s="29"/>
    </row>
    <row r="789">
      <c r="A789" s="29"/>
      <c r="B789" s="29"/>
      <c r="C789" s="29"/>
      <c r="D789" s="29"/>
      <c r="E789" s="29"/>
    </row>
    <row r="790">
      <c r="A790" s="29"/>
      <c r="B790" s="29"/>
      <c r="C790" s="29"/>
      <c r="D790" s="29"/>
      <c r="E790" s="29"/>
    </row>
    <row r="791">
      <c r="A791" s="29"/>
      <c r="B791" s="29"/>
      <c r="C791" s="29"/>
      <c r="D791" s="29"/>
      <c r="E791" s="29"/>
    </row>
    <row r="792">
      <c r="A792" s="29"/>
      <c r="B792" s="29"/>
      <c r="C792" s="29"/>
      <c r="D792" s="29"/>
      <c r="E792" s="29"/>
    </row>
    <row r="793">
      <c r="A793" s="29"/>
      <c r="B793" s="29"/>
      <c r="C793" s="29"/>
      <c r="D793" s="29"/>
      <c r="E793" s="29"/>
    </row>
    <row r="794">
      <c r="A794" s="29"/>
      <c r="B794" s="29"/>
      <c r="C794" s="29"/>
      <c r="D794" s="29"/>
      <c r="E794" s="29"/>
    </row>
    <row r="795">
      <c r="A795" s="29"/>
      <c r="B795" s="29"/>
      <c r="C795" s="29"/>
      <c r="D795" s="29"/>
      <c r="E795" s="29"/>
    </row>
    <row r="796">
      <c r="A796" s="29"/>
      <c r="B796" s="29"/>
      <c r="C796" s="29"/>
      <c r="D796" s="29"/>
      <c r="E796" s="29"/>
    </row>
    <row r="797">
      <c r="A797" s="29"/>
      <c r="B797" s="29"/>
      <c r="C797" s="29"/>
      <c r="D797" s="29"/>
      <c r="E797" s="29"/>
    </row>
    <row r="798">
      <c r="A798" s="29"/>
      <c r="B798" s="29"/>
      <c r="C798" s="29"/>
      <c r="D798" s="29"/>
      <c r="E798" s="29"/>
    </row>
    <row r="799">
      <c r="A799" s="29"/>
      <c r="B799" s="29"/>
      <c r="C799" s="29"/>
      <c r="D799" s="29"/>
      <c r="E799" s="29"/>
    </row>
    <row r="800">
      <c r="A800" s="29"/>
      <c r="B800" s="29"/>
      <c r="C800" s="29"/>
      <c r="D800" s="29"/>
      <c r="E800" s="29"/>
    </row>
    <row r="801">
      <c r="A801" s="29"/>
      <c r="B801" s="29"/>
      <c r="C801" s="29"/>
      <c r="D801" s="29"/>
      <c r="E801" s="29"/>
    </row>
    <row r="802">
      <c r="A802" s="29"/>
      <c r="B802" s="29"/>
      <c r="C802" s="29"/>
      <c r="D802" s="29"/>
      <c r="E802" s="29"/>
    </row>
    <row r="803">
      <c r="A803" s="29"/>
      <c r="B803" s="29"/>
      <c r="C803" s="29"/>
      <c r="D803" s="29"/>
      <c r="E803" s="29"/>
    </row>
    <row r="804">
      <c r="A804" s="29"/>
      <c r="B804" s="29"/>
      <c r="C804" s="29"/>
      <c r="D804" s="29"/>
      <c r="E804" s="29"/>
    </row>
    <row r="805">
      <c r="A805" s="29"/>
      <c r="B805" s="29"/>
      <c r="C805" s="29"/>
      <c r="D805" s="29"/>
      <c r="E805" s="29"/>
    </row>
    <row r="806">
      <c r="A806" s="29"/>
      <c r="B806" s="29"/>
      <c r="C806" s="29"/>
      <c r="D806" s="29"/>
      <c r="E806" s="29"/>
    </row>
    <row r="807">
      <c r="A807" s="29"/>
      <c r="B807" s="29"/>
      <c r="C807" s="29"/>
      <c r="D807" s="29"/>
      <c r="E807" s="29"/>
    </row>
    <row r="808">
      <c r="A808" s="29"/>
      <c r="B808" s="29"/>
      <c r="C808" s="29"/>
      <c r="D808" s="29"/>
      <c r="E808" s="29"/>
    </row>
    <row r="809">
      <c r="A809" s="29"/>
      <c r="B809" s="29"/>
      <c r="C809" s="29"/>
      <c r="D809" s="29"/>
      <c r="E809" s="29"/>
    </row>
    <row r="810">
      <c r="A810" s="29"/>
      <c r="B810" s="29"/>
      <c r="C810" s="29"/>
      <c r="D810" s="29"/>
      <c r="E810" s="29"/>
    </row>
    <row r="811">
      <c r="A811" s="29"/>
      <c r="B811" s="29"/>
      <c r="C811" s="29"/>
      <c r="D811" s="29"/>
      <c r="E811" s="29"/>
    </row>
    <row r="812">
      <c r="A812" s="29"/>
      <c r="B812" s="29"/>
      <c r="C812" s="29"/>
      <c r="D812" s="29"/>
      <c r="E812" s="29"/>
    </row>
    <row r="813">
      <c r="A813" s="29"/>
      <c r="B813" s="29"/>
      <c r="C813" s="29"/>
      <c r="D813" s="29"/>
      <c r="E813" s="29"/>
    </row>
    <row r="814">
      <c r="A814" s="29"/>
      <c r="B814" s="29"/>
      <c r="C814" s="29"/>
      <c r="D814" s="29"/>
      <c r="E814" s="29"/>
    </row>
    <row r="815">
      <c r="A815" s="29"/>
      <c r="B815" s="29"/>
      <c r="C815" s="29"/>
      <c r="D815" s="29"/>
      <c r="E815" s="29"/>
    </row>
    <row r="816">
      <c r="A816" s="29"/>
      <c r="B816" s="29"/>
      <c r="C816" s="29"/>
      <c r="D816" s="29"/>
      <c r="E816" s="29"/>
    </row>
    <row r="817">
      <c r="A817" s="29"/>
      <c r="B817" s="29"/>
      <c r="C817" s="29"/>
      <c r="D817" s="29"/>
      <c r="E817" s="29"/>
    </row>
    <row r="818">
      <c r="A818" s="29"/>
      <c r="B818" s="29"/>
      <c r="C818" s="29"/>
      <c r="D818" s="29"/>
      <c r="E818" s="29"/>
    </row>
    <row r="819">
      <c r="A819" s="29"/>
      <c r="B819" s="29"/>
      <c r="C819" s="29"/>
      <c r="D819" s="29"/>
      <c r="E819" s="29"/>
    </row>
    <row r="820">
      <c r="A820" s="29"/>
      <c r="B820" s="29"/>
      <c r="C820" s="29"/>
      <c r="D820" s="29"/>
      <c r="E820" s="29"/>
    </row>
    <row r="821">
      <c r="A821" s="29"/>
      <c r="B821" s="29"/>
      <c r="C821" s="29"/>
      <c r="D821" s="29"/>
      <c r="E821" s="29"/>
    </row>
    <row r="822">
      <c r="A822" s="29"/>
      <c r="B822" s="29"/>
      <c r="C822" s="29"/>
      <c r="D822" s="29"/>
      <c r="E822" s="29"/>
    </row>
    <row r="823">
      <c r="A823" s="29"/>
      <c r="B823" s="29"/>
      <c r="C823" s="29"/>
      <c r="D823" s="29"/>
      <c r="E823" s="29"/>
    </row>
    <row r="824">
      <c r="A824" s="29"/>
      <c r="B824" s="29"/>
      <c r="C824" s="29"/>
      <c r="D824" s="29"/>
      <c r="E824" s="29"/>
    </row>
    <row r="825">
      <c r="A825" s="29"/>
      <c r="B825" s="29"/>
      <c r="C825" s="29"/>
      <c r="D825" s="29"/>
      <c r="E825" s="29"/>
    </row>
    <row r="826">
      <c r="A826" s="29"/>
      <c r="B826" s="29"/>
      <c r="C826" s="29"/>
      <c r="D826" s="29"/>
      <c r="E826" s="29"/>
    </row>
    <row r="827">
      <c r="A827" s="29"/>
      <c r="B827" s="29"/>
      <c r="C827" s="29"/>
      <c r="D827" s="29"/>
      <c r="E827" s="29"/>
    </row>
    <row r="828">
      <c r="A828" s="29"/>
      <c r="B828" s="29"/>
      <c r="C828" s="29"/>
      <c r="D828" s="29"/>
      <c r="E828" s="29"/>
    </row>
    <row r="829">
      <c r="A829" s="29"/>
      <c r="B829" s="29"/>
      <c r="C829" s="29"/>
      <c r="D829" s="29"/>
      <c r="E829" s="29"/>
    </row>
    <row r="830">
      <c r="A830" s="29"/>
      <c r="B830" s="29"/>
      <c r="C830" s="29"/>
      <c r="D830" s="29"/>
      <c r="E830" s="29"/>
    </row>
    <row r="831">
      <c r="A831" s="29"/>
      <c r="B831" s="29"/>
      <c r="C831" s="29"/>
      <c r="D831" s="29"/>
      <c r="E831" s="29"/>
    </row>
    <row r="832">
      <c r="A832" s="29"/>
      <c r="B832" s="29"/>
      <c r="C832" s="29"/>
      <c r="D832" s="29"/>
      <c r="E832" s="29"/>
    </row>
    <row r="833">
      <c r="A833" s="29"/>
      <c r="B833" s="29"/>
      <c r="C833" s="29"/>
      <c r="D833" s="29"/>
      <c r="E833" s="29"/>
    </row>
    <row r="834">
      <c r="A834" s="29"/>
      <c r="B834" s="29"/>
      <c r="C834" s="29"/>
      <c r="D834" s="29"/>
      <c r="E834" s="29"/>
    </row>
    <row r="835">
      <c r="A835" s="29"/>
      <c r="B835" s="29"/>
      <c r="C835" s="29"/>
      <c r="D835" s="29"/>
      <c r="E835" s="29"/>
    </row>
    <row r="836">
      <c r="A836" s="29"/>
      <c r="B836" s="29"/>
      <c r="C836" s="29"/>
      <c r="D836" s="29"/>
      <c r="E836" s="29"/>
    </row>
    <row r="837">
      <c r="A837" s="29"/>
      <c r="B837" s="29"/>
      <c r="C837" s="29"/>
      <c r="D837" s="29"/>
      <c r="E837" s="29"/>
    </row>
    <row r="838">
      <c r="A838" s="29"/>
      <c r="B838" s="29"/>
      <c r="C838" s="29"/>
      <c r="D838" s="29"/>
      <c r="E838" s="29"/>
    </row>
    <row r="839">
      <c r="A839" s="29"/>
      <c r="B839" s="29"/>
      <c r="C839" s="29"/>
      <c r="D839" s="29"/>
      <c r="E839" s="29"/>
    </row>
    <row r="840">
      <c r="A840" s="29"/>
      <c r="B840" s="29"/>
      <c r="C840" s="29"/>
      <c r="D840" s="29"/>
      <c r="E840" s="29"/>
    </row>
    <row r="841">
      <c r="A841" s="29"/>
      <c r="B841" s="29"/>
      <c r="C841" s="29"/>
      <c r="D841" s="29"/>
      <c r="E841" s="29"/>
    </row>
    <row r="842">
      <c r="A842" s="29"/>
      <c r="B842" s="29"/>
      <c r="C842" s="29"/>
      <c r="D842" s="29"/>
      <c r="E842" s="29"/>
    </row>
    <row r="843">
      <c r="A843" s="29"/>
      <c r="B843" s="29"/>
      <c r="C843" s="29"/>
      <c r="D843" s="29"/>
      <c r="E843" s="29"/>
    </row>
    <row r="844">
      <c r="A844" s="29"/>
      <c r="B844" s="29"/>
      <c r="C844" s="29"/>
      <c r="D844" s="29"/>
      <c r="E844" s="29"/>
    </row>
    <row r="845">
      <c r="A845" s="29"/>
      <c r="B845" s="29"/>
      <c r="C845" s="29"/>
      <c r="D845" s="29"/>
      <c r="E845" s="29"/>
    </row>
    <row r="846">
      <c r="A846" s="29"/>
      <c r="B846" s="29"/>
      <c r="C846" s="29"/>
      <c r="D846" s="29"/>
      <c r="E846" s="29"/>
    </row>
    <row r="847">
      <c r="A847" s="29"/>
      <c r="B847" s="29"/>
      <c r="C847" s="29"/>
      <c r="D847" s="29"/>
      <c r="E847" s="29"/>
    </row>
    <row r="848">
      <c r="A848" s="29"/>
      <c r="B848" s="29"/>
      <c r="C848" s="29"/>
      <c r="D848" s="29"/>
      <c r="E848" s="29"/>
    </row>
    <row r="849">
      <c r="A849" s="29"/>
      <c r="B849" s="29"/>
      <c r="C849" s="29"/>
      <c r="D849" s="29"/>
      <c r="E849" s="29"/>
    </row>
    <row r="850">
      <c r="A850" s="29"/>
      <c r="B850" s="29"/>
      <c r="C850" s="29"/>
      <c r="D850" s="29"/>
      <c r="E850" s="29"/>
    </row>
    <row r="851">
      <c r="A851" s="29"/>
      <c r="B851" s="29"/>
      <c r="C851" s="29"/>
      <c r="D851" s="29"/>
      <c r="E851" s="29"/>
    </row>
    <row r="852">
      <c r="A852" s="29"/>
      <c r="B852" s="29"/>
      <c r="C852" s="29"/>
      <c r="D852" s="29"/>
      <c r="E852" s="29"/>
    </row>
    <row r="853">
      <c r="A853" s="29"/>
      <c r="B853" s="29"/>
      <c r="C853" s="29"/>
      <c r="D853" s="29"/>
      <c r="E853" s="29"/>
    </row>
    <row r="854">
      <c r="A854" s="29"/>
      <c r="B854" s="29"/>
      <c r="C854" s="29"/>
      <c r="D854" s="29"/>
      <c r="E854" s="29"/>
    </row>
    <row r="855">
      <c r="A855" s="29"/>
      <c r="B855" s="29"/>
      <c r="C855" s="29"/>
      <c r="D855" s="29"/>
      <c r="E855" s="29"/>
    </row>
    <row r="856">
      <c r="A856" s="29"/>
      <c r="B856" s="29"/>
      <c r="C856" s="29"/>
      <c r="D856" s="29"/>
      <c r="E856" s="29"/>
    </row>
    <row r="857">
      <c r="A857" s="29"/>
      <c r="B857" s="29"/>
      <c r="C857" s="29"/>
      <c r="D857" s="29"/>
      <c r="E857" s="29"/>
    </row>
    <row r="858">
      <c r="A858" s="29"/>
      <c r="B858" s="29"/>
      <c r="C858" s="29"/>
      <c r="D858" s="29"/>
      <c r="E858" s="29"/>
    </row>
    <row r="859">
      <c r="A859" s="29"/>
      <c r="B859" s="29"/>
      <c r="C859" s="29"/>
      <c r="D859" s="29"/>
      <c r="E859" s="29"/>
    </row>
    <row r="860">
      <c r="A860" s="29"/>
      <c r="B860" s="29"/>
      <c r="C860" s="29"/>
      <c r="D860" s="29"/>
      <c r="E860" s="29"/>
    </row>
    <row r="861">
      <c r="A861" s="29"/>
      <c r="B861" s="29"/>
      <c r="C861" s="29"/>
      <c r="D861" s="29"/>
      <c r="E861" s="29"/>
    </row>
    <row r="862">
      <c r="A862" s="29"/>
      <c r="B862" s="29"/>
      <c r="C862" s="29"/>
      <c r="D862" s="29"/>
      <c r="E862" s="29"/>
    </row>
    <row r="863">
      <c r="A863" s="29"/>
      <c r="B863" s="29"/>
      <c r="C863" s="29"/>
      <c r="D863" s="29"/>
      <c r="E863" s="29"/>
    </row>
    <row r="864">
      <c r="A864" s="29"/>
      <c r="B864" s="29"/>
      <c r="C864" s="29"/>
      <c r="D864" s="29"/>
      <c r="E864" s="29"/>
    </row>
    <row r="865">
      <c r="A865" s="29"/>
      <c r="B865" s="29"/>
      <c r="C865" s="29"/>
      <c r="D865" s="29"/>
      <c r="E865" s="29"/>
    </row>
    <row r="866">
      <c r="A866" s="29"/>
      <c r="B866" s="29"/>
      <c r="C866" s="29"/>
      <c r="D866" s="29"/>
      <c r="E866" s="29"/>
    </row>
    <row r="867">
      <c r="A867" s="29"/>
      <c r="B867" s="29"/>
      <c r="C867" s="29"/>
      <c r="D867" s="29"/>
      <c r="E867" s="29"/>
    </row>
    <row r="868">
      <c r="A868" s="29"/>
      <c r="B868" s="29"/>
      <c r="C868" s="29"/>
      <c r="D868" s="29"/>
      <c r="E868" s="29"/>
    </row>
    <row r="869">
      <c r="A869" s="29"/>
      <c r="B869" s="29"/>
      <c r="C869" s="29"/>
      <c r="D869" s="29"/>
      <c r="E869" s="29"/>
    </row>
    <row r="870">
      <c r="A870" s="29"/>
      <c r="B870" s="29"/>
      <c r="C870" s="29"/>
      <c r="D870" s="29"/>
      <c r="E870" s="29"/>
    </row>
    <row r="871">
      <c r="A871" s="29"/>
      <c r="B871" s="29"/>
      <c r="C871" s="29"/>
      <c r="D871" s="29"/>
      <c r="E871" s="29"/>
    </row>
    <row r="872">
      <c r="A872" s="29"/>
      <c r="B872" s="29"/>
      <c r="C872" s="29"/>
      <c r="D872" s="29"/>
      <c r="E872" s="29"/>
    </row>
    <row r="873">
      <c r="A873" s="29"/>
      <c r="B873" s="29"/>
      <c r="C873" s="29"/>
      <c r="D873" s="29"/>
      <c r="E873" s="29"/>
    </row>
    <row r="874">
      <c r="A874" s="29"/>
      <c r="B874" s="29"/>
      <c r="C874" s="29"/>
      <c r="D874" s="29"/>
      <c r="E874" s="29"/>
    </row>
    <row r="875">
      <c r="A875" s="29"/>
      <c r="B875" s="29"/>
      <c r="C875" s="29"/>
      <c r="D875" s="29"/>
      <c r="E875" s="29"/>
    </row>
    <row r="876">
      <c r="A876" s="29"/>
      <c r="B876" s="29"/>
      <c r="C876" s="29"/>
      <c r="D876" s="29"/>
      <c r="E876" s="29"/>
    </row>
    <row r="877">
      <c r="A877" s="29"/>
      <c r="B877" s="29"/>
      <c r="C877" s="29"/>
      <c r="D877" s="29"/>
      <c r="E877" s="29"/>
    </row>
    <row r="878">
      <c r="A878" s="29"/>
      <c r="B878" s="29"/>
      <c r="C878" s="29"/>
      <c r="D878" s="29"/>
      <c r="E878" s="29"/>
    </row>
    <row r="879">
      <c r="A879" s="29"/>
      <c r="B879" s="29"/>
      <c r="C879" s="29"/>
      <c r="D879" s="29"/>
      <c r="E879" s="29"/>
    </row>
    <row r="880">
      <c r="A880" s="29"/>
      <c r="B880" s="29"/>
      <c r="C880" s="29"/>
      <c r="D880" s="29"/>
      <c r="E880" s="29"/>
    </row>
    <row r="881">
      <c r="A881" s="29"/>
      <c r="B881" s="29"/>
      <c r="C881" s="29"/>
      <c r="D881" s="29"/>
      <c r="E881" s="29"/>
    </row>
    <row r="882">
      <c r="A882" s="29"/>
      <c r="B882" s="29"/>
      <c r="C882" s="29"/>
      <c r="D882" s="29"/>
      <c r="E882" s="29"/>
    </row>
    <row r="883">
      <c r="A883" s="29"/>
      <c r="B883" s="29"/>
      <c r="C883" s="29"/>
      <c r="D883" s="29"/>
      <c r="E883" s="29"/>
    </row>
    <row r="884">
      <c r="A884" s="29"/>
      <c r="B884" s="29"/>
      <c r="C884" s="29"/>
      <c r="D884" s="29"/>
      <c r="E884" s="29"/>
    </row>
    <row r="885">
      <c r="A885" s="29"/>
      <c r="B885" s="29"/>
      <c r="C885" s="29"/>
      <c r="D885" s="29"/>
      <c r="E885" s="29"/>
    </row>
    <row r="886">
      <c r="A886" s="29"/>
      <c r="B886" s="29"/>
      <c r="C886" s="29"/>
      <c r="D886" s="29"/>
      <c r="E886" s="29"/>
    </row>
    <row r="887">
      <c r="A887" s="29"/>
      <c r="B887" s="29"/>
      <c r="C887" s="29"/>
      <c r="D887" s="29"/>
      <c r="E887" s="29"/>
    </row>
    <row r="888">
      <c r="A888" s="29"/>
      <c r="B888" s="29"/>
      <c r="C888" s="29"/>
      <c r="D888" s="29"/>
      <c r="E888" s="29"/>
    </row>
    <row r="889">
      <c r="A889" s="29"/>
      <c r="B889" s="29"/>
      <c r="C889" s="29"/>
      <c r="D889" s="29"/>
      <c r="E889" s="29"/>
    </row>
    <row r="890">
      <c r="A890" s="29"/>
      <c r="B890" s="29"/>
      <c r="C890" s="29"/>
      <c r="D890" s="29"/>
      <c r="E890" s="29"/>
    </row>
    <row r="891">
      <c r="A891" s="29"/>
      <c r="B891" s="29"/>
      <c r="C891" s="29"/>
      <c r="D891" s="29"/>
      <c r="E891" s="29"/>
    </row>
    <row r="892">
      <c r="A892" s="29"/>
      <c r="B892" s="29"/>
      <c r="C892" s="29"/>
      <c r="D892" s="29"/>
      <c r="E892" s="29"/>
    </row>
    <row r="893">
      <c r="A893" s="29"/>
      <c r="B893" s="29"/>
      <c r="C893" s="29"/>
      <c r="D893" s="29"/>
      <c r="E893" s="29"/>
    </row>
    <row r="894">
      <c r="A894" s="29"/>
      <c r="B894" s="29"/>
      <c r="C894" s="29"/>
      <c r="D894" s="29"/>
      <c r="E894" s="29"/>
    </row>
    <row r="895">
      <c r="A895" s="29"/>
      <c r="B895" s="29"/>
      <c r="C895" s="29"/>
      <c r="D895" s="29"/>
      <c r="E895" s="29"/>
    </row>
    <row r="896">
      <c r="A896" s="29"/>
      <c r="B896" s="29"/>
      <c r="C896" s="29"/>
      <c r="D896" s="29"/>
      <c r="E896" s="29"/>
    </row>
    <row r="897">
      <c r="A897" s="29"/>
      <c r="B897" s="29"/>
      <c r="C897" s="29"/>
      <c r="D897" s="29"/>
      <c r="E897" s="29"/>
    </row>
    <row r="898">
      <c r="A898" s="29"/>
      <c r="B898" s="29"/>
      <c r="C898" s="29"/>
      <c r="D898" s="29"/>
      <c r="E898" s="29"/>
    </row>
    <row r="899">
      <c r="A899" s="29"/>
      <c r="B899" s="29"/>
      <c r="C899" s="29"/>
      <c r="D899" s="29"/>
      <c r="E899" s="29"/>
    </row>
    <row r="900">
      <c r="A900" s="29"/>
      <c r="B900" s="29"/>
      <c r="C900" s="29"/>
      <c r="D900" s="29"/>
      <c r="E900" s="29"/>
    </row>
    <row r="901">
      <c r="A901" s="29"/>
      <c r="B901" s="29"/>
      <c r="C901" s="29"/>
      <c r="D901" s="29"/>
      <c r="E901" s="29"/>
    </row>
    <row r="902">
      <c r="A902" s="29"/>
      <c r="B902" s="29"/>
      <c r="C902" s="29"/>
      <c r="D902" s="29"/>
      <c r="E902" s="29"/>
    </row>
    <row r="903">
      <c r="A903" s="29"/>
      <c r="B903" s="29"/>
      <c r="C903" s="29"/>
      <c r="D903" s="29"/>
      <c r="E903" s="29"/>
    </row>
    <row r="904">
      <c r="A904" s="29"/>
      <c r="B904" s="29"/>
      <c r="C904" s="29"/>
      <c r="D904" s="29"/>
      <c r="E904" s="29"/>
    </row>
    <row r="905">
      <c r="A905" s="29"/>
      <c r="B905" s="29"/>
      <c r="C905" s="29"/>
      <c r="D905" s="29"/>
      <c r="E905" s="29"/>
    </row>
    <row r="906">
      <c r="A906" s="29"/>
      <c r="B906" s="29"/>
      <c r="C906" s="29"/>
      <c r="D906" s="29"/>
      <c r="E906" s="29"/>
    </row>
    <row r="907">
      <c r="A907" s="29"/>
      <c r="B907" s="29"/>
      <c r="C907" s="29"/>
      <c r="D907" s="29"/>
      <c r="E907" s="29"/>
    </row>
    <row r="908">
      <c r="A908" s="29"/>
      <c r="B908" s="29"/>
      <c r="C908" s="29"/>
      <c r="D908" s="29"/>
      <c r="E908" s="29"/>
    </row>
    <row r="909">
      <c r="A909" s="29"/>
      <c r="B909" s="29"/>
      <c r="C909" s="29"/>
      <c r="D909" s="29"/>
      <c r="E909" s="29"/>
    </row>
    <row r="910">
      <c r="A910" s="29"/>
      <c r="B910" s="29"/>
      <c r="C910" s="29"/>
      <c r="D910" s="29"/>
      <c r="E910" s="29"/>
    </row>
    <row r="911">
      <c r="A911" s="29"/>
      <c r="B911" s="29"/>
      <c r="C911" s="29"/>
      <c r="D911" s="29"/>
      <c r="E911" s="29"/>
    </row>
    <row r="912">
      <c r="A912" s="29"/>
      <c r="B912" s="29"/>
      <c r="C912" s="29"/>
      <c r="D912" s="29"/>
      <c r="E912" s="29"/>
    </row>
    <row r="913">
      <c r="A913" s="29"/>
      <c r="B913" s="29"/>
      <c r="C913" s="29"/>
      <c r="D913" s="29"/>
      <c r="E913" s="29"/>
    </row>
    <row r="914">
      <c r="A914" s="29"/>
      <c r="B914" s="29"/>
      <c r="C914" s="29"/>
      <c r="D914" s="29"/>
      <c r="E914" s="29"/>
    </row>
    <row r="915">
      <c r="A915" s="29"/>
      <c r="B915" s="29"/>
      <c r="C915" s="29"/>
      <c r="D915" s="29"/>
      <c r="E915" s="29"/>
    </row>
    <row r="916">
      <c r="A916" s="29"/>
      <c r="B916" s="29"/>
      <c r="C916" s="29"/>
      <c r="D916" s="29"/>
      <c r="E916" s="29"/>
    </row>
    <row r="917">
      <c r="A917" s="29"/>
      <c r="B917" s="29"/>
      <c r="C917" s="29"/>
      <c r="D917" s="29"/>
      <c r="E917" s="29"/>
    </row>
    <row r="918">
      <c r="A918" s="29"/>
      <c r="B918" s="29"/>
      <c r="C918" s="29"/>
      <c r="D918" s="29"/>
      <c r="E918" s="29"/>
    </row>
    <row r="919">
      <c r="A919" s="29"/>
      <c r="B919" s="29"/>
      <c r="C919" s="29"/>
      <c r="D919" s="29"/>
      <c r="E919" s="29"/>
    </row>
    <row r="920">
      <c r="A920" s="29"/>
      <c r="B920" s="29"/>
      <c r="C920" s="29"/>
      <c r="D920" s="29"/>
      <c r="E920" s="29"/>
    </row>
    <row r="921">
      <c r="A921" s="29"/>
      <c r="B921" s="29"/>
      <c r="C921" s="29"/>
      <c r="D921" s="29"/>
      <c r="E921" s="29"/>
    </row>
    <row r="922">
      <c r="A922" s="29"/>
      <c r="B922" s="29"/>
      <c r="C922" s="29"/>
      <c r="D922" s="29"/>
      <c r="E922" s="29"/>
    </row>
    <row r="923">
      <c r="A923" s="29"/>
      <c r="B923" s="29"/>
      <c r="C923" s="29"/>
      <c r="D923" s="29"/>
      <c r="E923" s="29"/>
    </row>
    <row r="924">
      <c r="A924" s="29"/>
      <c r="B924" s="29"/>
      <c r="C924" s="29"/>
      <c r="D924" s="29"/>
      <c r="E924" s="29"/>
    </row>
    <row r="925">
      <c r="A925" s="29"/>
      <c r="B925" s="29"/>
      <c r="C925" s="29"/>
      <c r="D925" s="29"/>
      <c r="E925" s="29"/>
    </row>
    <row r="926">
      <c r="A926" s="29"/>
      <c r="B926" s="29"/>
      <c r="C926" s="29"/>
      <c r="D926" s="29"/>
      <c r="E926" s="29"/>
    </row>
    <row r="927">
      <c r="A927" s="29"/>
      <c r="B927" s="29"/>
      <c r="C927" s="29"/>
      <c r="D927" s="29"/>
      <c r="E927" s="29"/>
    </row>
    <row r="928">
      <c r="A928" s="29"/>
      <c r="B928" s="29"/>
      <c r="C928" s="29"/>
      <c r="D928" s="29"/>
      <c r="E928" s="29"/>
    </row>
    <row r="929">
      <c r="A929" s="29"/>
      <c r="B929" s="29"/>
      <c r="C929" s="29"/>
      <c r="D929" s="29"/>
      <c r="E929" s="29"/>
    </row>
    <row r="930">
      <c r="A930" s="29"/>
      <c r="B930" s="29"/>
      <c r="C930" s="29"/>
      <c r="D930" s="29"/>
      <c r="E930" s="29"/>
    </row>
    <row r="931">
      <c r="A931" s="29"/>
      <c r="B931" s="29"/>
      <c r="C931" s="29"/>
      <c r="D931" s="29"/>
      <c r="E931" s="29"/>
    </row>
    <row r="932">
      <c r="A932" s="29"/>
      <c r="B932" s="29"/>
      <c r="C932" s="29"/>
      <c r="D932" s="29"/>
      <c r="E932" s="29"/>
    </row>
    <row r="933">
      <c r="A933" s="29"/>
      <c r="B933" s="29"/>
      <c r="C933" s="29"/>
      <c r="D933" s="29"/>
      <c r="E933" s="29"/>
    </row>
    <row r="934">
      <c r="A934" s="29"/>
      <c r="B934" s="29"/>
      <c r="C934" s="29"/>
      <c r="D934" s="29"/>
      <c r="E934" s="29"/>
    </row>
    <row r="935">
      <c r="A935" s="29"/>
      <c r="B935" s="29"/>
      <c r="C935" s="29"/>
      <c r="D935" s="29"/>
      <c r="E935" s="29"/>
    </row>
    <row r="936">
      <c r="A936" s="29"/>
      <c r="B936" s="29"/>
      <c r="C936" s="29"/>
      <c r="D936" s="29"/>
      <c r="E936" s="29"/>
    </row>
    <row r="937">
      <c r="A937" s="29"/>
      <c r="B937" s="29"/>
      <c r="C937" s="29"/>
      <c r="D937" s="29"/>
      <c r="E937" s="29"/>
    </row>
    <row r="938">
      <c r="A938" s="29"/>
      <c r="B938" s="29"/>
      <c r="C938" s="29"/>
      <c r="D938" s="29"/>
      <c r="E938" s="29"/>
    </row>
    <row r="939">
      <c r="A939" s="29"/>
      <c r="B939" s="29"/>
      <c r="C939" s="29"/>
      <c r="D939" s="29"/>
      <c r="E939" s="29"/>
    </row>
    <row r="940">
      <c r="A940" s="29"/>
      <c r="B940" s="29"/>
      <c r="C940" s="29"/>
      <c r="D940" s="29"/>
      <c r="E940" s="29"/>
    </row>
    <row r="941">
      <c r="A941" s="29"/>
      <c r="B941" s="29"/>
      <c r="C941" s="29"/>
      <c r="D941" s="29"/>
      <c r="E941" s="29"/>
    </row>
    <row r="942">
      <c r="A942" s="29"/>
      <c r="B942" s="29"/>
      <c r="C942" s="29"/>
      <c r="D942" s="29"/>
      <c r="E942" s="29"/>
    </row>
    <row r="943">
      <c r="A943" s="29"/>
      <c r="B943" s="29"/>
      <c r="C943" s="29"/>
      <c r="D943" s="29"/>
      <c r="E943" s="29"/>
    </row>
    <row r="944">
      <c r="A944" s="29"/>
      <c r="B944" s="29"/>
      <c r="C944" s="29"/>
      <c r="D944" s="29"/>
      <c r="E944" s="29"/>
    </row>
    <row r="945">
      <c r="A945" s="29"/>
      <c r="B945" s="29"/>
      <c r="C945" s="29"/>
      <c r="D945" s="29"/>
      <c r="E945" s="29"/>
    </row>
    <row r="946">
      <c r="A946" s="29"/>
      <c r="B946" s="29"/>
      <c r="C946" s="29"/>
      <c r="D946" s="29"/>
      <c r="E946" s="29"/>
    </row>
    <row r="947">
      <c r="A947" s="29"/>
      <c r="B947" s="29"/>
      <c r="C947" s="29"/>
      <c r="D947" s="29"/>
      <c r="E947" s="29"/>
    </row>
    <row r="948">
      <c r="A948" s="29"/>
      <c r="B948" s="29"/>
      <c r="C948" s="29"/>
      <c r="D948" s="29"/>
      <c r="E948" s="29"/>
    </row>
    <row r="949">
      <c r="A949" s="29"/>
      <c r="B949" s="29"/>
      <c r="C949" s="29"/>
      <c r="D949" s="29"/>
      <c r="E949" s="29"/>
    </row>
    <row r="950">
      <c r="A950" s="29"/>
      <c r="B950" s="29"/>
      <c r="C950" s="29"/>
      <c r="D950" s="29"/>
      <c r="E950" s="29"/>
    </row>
    <row r="951">
      <c r="A951" s="29"/>
      <c r="B951" s="29"/>
      <c r="C951" s="29"/>
      <c r="D951" s="29"/>
      <c r="E951" s="29"/>
    </row>
    <row r="952">
      <c r="A952" s="29"/>
      <c r="B952" s="29"/>
      <c r="C952" s="29"/>
      <c r="D952" s="29"/>
      <c r="E952" s="29"/>
    </row>
    <row r="953">
      <c r="A953" s="29"/>
      <c r="B953" s="29"/>
      <c r="C953" s="29"/>
      <c r="D953" s="29"/>
      <c r="E953" s="29"/>
    </row>
    <row r="954">
      <c r="A954" s="29"/>
      <c r="B954" s="29"/>
      <c r="C954" s="29"/>
      <c r="D954" s="29"/>
      <c r="E954" s="29"/>
    </row>
    <row r="955">
      <c r="A955" s="29"/>
      <c r="B955" s="29"/>
      <c r="C955" s="29"/>
      <c r="D955" s="29"/>
      <c r="E955" s="29"/>
    </row>
    <row r="956">
      <c r="A956" s="29"/>
      <c r="B956" s="29"/>
      <c r="C956" s="29"/>
      <c r="D956" s="29"/>
      <c r="E956" s="29"/>
    </row>
    <row r="957">
      <c r="A957" s="29"/>
      <c r="B957" s="29"/>
      <c r="C957" s="29"/>
      <c r="D957" s="29"/>
      <c r="E957" s="29"/>
    </row>
    <row r="958">
      <c r="A958" s="29"/>
      <c r="B958" s="29"/>
      <c r="C958" s="29"/>
      <c r="D958" s="29"/>
      <c r="E958" s="29"/>
    </row>
    <row r="959">
      <c r="A959" s="29"/>
      <c r="B959" s="29"/>
      <c r="C959" s="29"/>
      <c r="D959" s="29"/>
      <c r="E959" s="29"/>
    </row>
    <row r="960">
      <c r="A960" s="29"/>
      <c r="B960" s="29"/>
      <c r="C960" s="29"/>
      <c r="D960" s="29"/>
      <c r="E960" s="29"/>
    </row>
    <row r="961">
      <c r="A961" s="29"/>
      <c r="B961" s="29"/>
      <c r="C961" s="29"/>
      <c r="D961" s="29"/>
      <c r="E961" s="29"/>
    </row>
    <row r="962">
      <c r="A962" s="29"/>
      <c r="B962" s="29"/>
      <c r="C962" s="29"/>
      <c r="D962" s="29"/>
      <c r="E962" s="29"/>
    </row>
    <row r="963">
      <c r="A963" s="29"/>
      <c r="B963" s="29"/>
      <c r="C963" s="29"/>
      <c r="D963" s="29"/>
      <c r="E963" s="29"/>
    </row>
    <row r="964">
      <c r="A964" s="29"/>
      <c r="B964" s="29"/>
      <c r="C964" s="29"/>
      <c r="D964" s="29"/>
      <c r="E964" s="29"/>
    </row>
    <row r="965">
      <c r="A965" s="29"/>
      <c r="B965" s="29"/>
      <c r="C965" s="29"/>
      <c r="D965" s="29"/>
      <c r="E965" s="29"/>
    </row>
    <row r="966">
      <c r="A966" s="29"/>
      <c r="B966" s="29"/>
      <c r="C966" s="29"/>
      <c r="D966" s="29"/>
      <c r="E966" s="29"/>
    </row>
    <row r="967">
      <c r="A967" s="29"/>
      <c r="B967" s="29"/>
      <c r="C967" s="29"/>
      <c r="D967" s="29"/>
      <c r="E967" s="29"/>
    </row>
    <row r="968">
      <c r="A968" s="29"/>
      <c r="B968" s="29"/>
      <c r="C968" s="29"/>
      <c r="D968" s="29"/>
      <c r="E968" s="29"/>
    </row>
    <row r="969">
      <c r="A969" s="29"/>
      <c r="B969" s="29"/>
      <c r="C969" s="29"/>
      <c r="D969" s="29"/>
      <c r="E969" s="29"/>
    </row>
    <row r="970">
      <c r="A970" s="29"/>
      <c r="B970" s="29"/>
      <c r="C970" s="29"/>
      <c r="D970" s="29"/>
      <c r="E970" s="29"/>
    </row>
    <row r="971">
      <c r="A971" s="29"/>
      <c r="B971" s="29"/>
      <c r="C971" s="29"/>
      <c r="D971" s="29"/>
      <c r="E971" s="29"/>
    </row>
    <row r="972">
      <c r="A972" s="29"/>
      <c r="B972" s="29"/>
      <c r="C972" s="29"/>
      <c r="D972" s="29"/>
      <c r="E972" s="29"/>
    </row>
    <row r="973">
      <c r="A973" s="29"/>
      <c r="B973" s="29"/>
      <c r="C973" s="29"/>
      <c r="D973" s="29"/>
      <c r="E973" s="29"/>
    </row>
    <row r="974">
      <c r="A974" s="29"/>
      <c r="B974" s="29"/>
      <c r="C974" s="29"/>
      <c r="D974" s="29"/>
      <c r="E974" s="29"/>
    </row>
    <row r="975">
      <c r="A975" s="29"/>
      <c r="B975" s="29"/>
      <c r="C975" s="29"/>
      <c r="D975" s="29"/>
      <c r="E975" s="29"/>
    </row>
    <row r="976">
      <c r="A976" s="29"/>
      <c r="B976" s="29"/>
      <c r="C976" s="29"/>
      <c r="D976" s="29"/>
      <c r="E976" s="29"/>
    </row>
    <row r="977">
      <c r="A977" s="29"/>
      <c r="B977" s="29"/>
      <c r="C977" s="29"/>
      <c r="D977" s="29"/>
      <c r="E977" s="29"/>
    </row>
    <row r="978">
      <c r="A978" s="29"/>
      <c r="B978" s="29"/>
      <c r="C978" s="29"/>
      <c r="D978" s="29"/>
      <c r="E978" s="29"/>
    </row>
    <row r="979">
      <c r="A979" s="29"/>
      <c r="B979" s="29"/>
      <c r="C979" s="29"/>
      <c r="D979" s="29"/>
      <c r="E979" s="29"/>
    </row>
    <row r="980">
      <c r="A980" s="29"/>
      <c r="B980" s="29"/>
      <c r="C980" s="29"/>
      <c r="D980" s="29"/>
      <c r="E980" s="29"/>
    </row>
    <row r="981">
      <c r="A981" s="29"/>
      <c r="B981" s="29"/>
      <c r="C981" s="29"/>
      <c r="D981" s="29"/>
      <c r="E981" s="29"/>
    </row>
    <row r="982">
      <c r="A982" s="29"/>
      <c r="B982" s="29"/>
      <c r="C982" s="29"/>
      <c r="D982" s="29"/>
      <c r="E982" s="29"/>
    </row>
    <row r="983">
      <c r="A983" s="29"/>
      <c r="B983" s="29"/>
      <c r="C983" s="29"/>
      <c r="D983" s="29"/>
      <c r="E983" s="29"/>
    </row>
    <row r="984">
      <c r="A984" s="29"/>
      <c r="B984" s="29"/>
      <c r="C984" s="29"/>
      <c r="D984" s="29"/>
      <c r="E984" s="29"/>
    </row>
    <row r="985">
      <c r="A985" s="29"/>
      <c r="B985" s="29"/>
      <c r="C985" s="29"/>
      <c r="D985" s="29"/>
      <c r="E985" s="29"/>
    </row>
    <row r="986">
      <c r="A986" s="29"/>
      <c r="B986" s="29"/>
      <c r="C986" s="29"/>
      <c r="D986" s="29"/>
      <c r="E986" s="29"/>
    </row>
    <row r="987">
      <c r="A987" s="29"/>
      <c r="B987" s="29"/>
      <c r="C987" s="29"/>
      <c r="D987" s="29"/>
      <c r="E987" s="29"/>
    </row>
    <row r="988">
      <c r="A988" s="29"/>
      <c r="B988" s="29"/>
      <c r="C988" s="29"/>
      <c r="D988" s="29"/>
      <c r="E988" s="29"/>
    </row>
    <row r="989">
      <c r="A989" s="29"/>
      <c r="B989" s="29"/>
      <c r="C989" s="29"/>
      <c r="D989" s="29"/>
      <c r="E989" s="29"/>
    </row>
    <row r="990">
      <c r="A990" s="29"/>
      <c r="B990" s="29"/>
      <c r="C990" s="29"/>
      <c r="D990" s="29"/>
      <c r="E990" s="29"/>
    </row>
    <row r="991">
      <c r="A991" s="29"/>
      <c r="B991" s="29"/>
      <c r="C991" s="29"/>
      <c r="D991" s="29"/>
      <c r="E991" s="29"/>
    </row>
    <row r="992">
      <c r="A992" s="29"/>
      <c r="B992" s="29"/>
      <c r="C992" s="29"/>
      <c r="D992" s="29"/>
      <c r="E992" s="29"/>
    </row>
    <row r="993">
      <c r="A993" s="29"/>
      <c r="B993" s="29"/>
      <c r="C993" s="29"/>
      <c r="D993" s="29"/>
      <c r="E993" s="29"/>
    </row>
    <row r="994">
      <c r="A994" s="29"/>
      <c r="B994" s="29"/>
      <c r="C994" s="29"/>
      <c r="D994" s="29"/>
      <c r="E994" s="29"/>
    </row>
    <row r="995">
      <c r="A995" s="29"/>
      <c r="B995" s="29"/>
      <c r="C995" s="29"/>
      <c r="D995" s="29"/>
      <c r="E995" s="29"/>
    </row>
    <row r="996">
      <c r="A996" s="29"/>
      <c r="B996" s="29"/>
      <c r="C996" s="29"/>
      <c r="D996" s="29"/>
      <c r="E996" s="29"/>
    </row>
    <row r="997">
      <c r="A997" s="29"/>
      <c r="B997" s="29"/>
      <c r="C997" s="29"/>
      <c r="D997" s="29"/>
      <c r="E997" s="29"/>
    </row>
    <row r="998">
      <c r="A998" s="29"/>
      <c r="B998" s="29"/>
      <c r="C998" s="29"/>
      <c r="D998" s="29"/>
      <c r="E998" s="29"/>
    </row>
    <row r="999">
      <c r="A999" s="29"/>
      <c r="B999" s="29"/>
      <c r="C999" s="29"/>
      <c r="D999" s="29"/>
      <c r="E999" s="29"/>
    </row>
    <row r="1000">
      <c r="A1000" s="29"/>
      <c r="B1000" s="29"/>
      <c r="C1000" s="29"/>
      <c r="D1000" s="29"/>
      <c r="E1000" s="2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26" width="8.63"/>
  </cols>
  <sheetData>
    <row r="1" ht="27.75" customHeight="1">
      <c r="A1" s="1" t="s">
        <v>196</v>
      </c>
      <c r="B1" s="1" t="s">
        <v>197</v>
      </c>
    </row>
    <row r="2">
      <c r="A2" s="33" t="s">
        <v>0</v>
      </c>
      <c r="B2" s="33" t="s">
        <v>198</v>
      </c>
    </row>
    <row r="3">
      <c r="A3" s="33" t="s">
        <v>1</v>
      </c>
      <c r="B3" s="33" t="s">
        <v>199</v>
      </c>
    </row>
    <row r="4">
      <c r="A4" s="33" t="s">
        <v>2</v>
      </c>
      <c r="B4" s="33" t="s">
        <v>200</v>
      </c>
    </row>
    <row r="5">
      <c r="A5" s="33" t="s">
        <v>3</v>
      </c>
      <c r="B5" s="33" t="s">
        <v>201</v>
      </c>
    </row>
    <row r="6">
      <c r="A6" s="33" t="s">
        <v>4</v>
      </c>
      <c r="B6" s="33" t="s">
        <v>202</v>
      </c>
    </row>
    <row r="7">
      <c r="A7" s="33" t="s">
        <v>5</v>
      </c>
      <c r="B7" s="33" t="s">
        <v>203</v>
      </c>
    </row>
    <row r="8">
      <c r="A8" s="33" t="s">
        <v>6</v>
      </c>
      <c r="B8" s="33" t="s">
        <v>204</v>
      </c>
    </row>
    <row r="9">
      <c r="A9" s="33" t="s">
        <v>7</v>
      </c>
      <c r="B9" s="33" t="s">
        <v>205</v>
      </c>
    </row>
    <row r="10">
      <c r="A10" s="33" t="s">
        <v>8</v>
      </c>
      <c r="B10" s="33" t="s">
        <v>206</v>
      </c>
    </row>
    <row r="11">
      <c r="A11" s="33" t="s">
        <v>9</v>
      </c>
      <c r="B11" s="33" t="s">
        <v>207</v>
      </c>
    </row>
    <row r="12">
      <c r="A12" s="33" t="s">
        <v>10</v>
      </c>
      <c r="B12" s="33" t="s">
        <v>208</v>
      </c>
    </row>
    <row r="13">
      <c r="A13" s="33" t="s">
        <v>11</v>
      </c>
      <c r="B13" s="33" t="s">
        <v>209</v>
      </c>
    </row>
    <row r="14">
      <c r="A14" s="33" t="s">
        <v>12</v>
      </c>
      <c r="B14" s="33" t="s">
        <v>210</v>
      </c>
    </row>
    <row r="15">
      <c r="A15" s="33" t="s">
        <v>13</v>
      </c>
      <c r="B15" s="33" t="s">
        <v>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